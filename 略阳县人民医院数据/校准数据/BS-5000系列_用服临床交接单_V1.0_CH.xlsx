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83863197-2392-42DF-A21F-87889E6397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S-5000系列交接表" sheetId="3" r:id="rId1"/>
    <sheet name="交接流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3" l="1"/>
  <c r="M29" i="3"/>
  <c r="L29" i="3"/>
  <c r="K29" i="3"/>
  <c r="J29" i="3"/>
  <c r="I29" i="3"/>
  <c r="H29" i="3"/>
  <c r="G29" i="3"/>
  <c r="N28" i="3"/>
  <c r="N30" i="3" s="1"/>
  <c r="M28" i="3"/>
  <c r="M30" i="3" s="1"/>
  <c r="L28" i="3"/>
  <c r="L30" i="3" s="1"/>
  <c r="K28" i="3"/>
  <c r="K30" i="3" s="1"/>
  <c r="J28" i="3"/>
  <c r="J30" i="3" s="1"/>
  <c r="I28" i="3"/>
  <c r="I30" i="3" s="1"/>
  <c r="H28" i="3"/>
  <c r="H30" i="3" s="1"/>
  <c r="G28" i="3"/>
  <c r="G30" i="3" s="1"/>
  <c r="B28" i="3"/>
  <c r="B30" i="3" s="1"/>
  <c r="C28" i="3"/>
  <c r="C30" i="3" s="1"/>
  <c r="D28" i="3"/>
  <c r="E28" i="3"/>
  <c r="E30" i="3" s="1"/>
  <c r="F28" i="3"/>
  <c r="F30" i="3" s="1"/>
  <c r="B29" i="3"/>
  <c r="C29" i="3"/>
  <c r="D29" i="3"/>
  <c r="E29" i="3"/>
  <c r="F29" i="3"/>
  <c r="D30" i="3"/>
</calcChain>
</file>

<file path=xl/sharedStrings.xml><?xml version="1.0" encoding="utf-8"?>
<sst xmlns="http://schemas.openxmlformats.org/spreadsheetml/2006/main" count="48" uniqueCount="48">
  <si>
    <t>医院名称：</t>
  </si>
  <si>
    <t xml:space="preserve">机器型号： </t>
  </si>
  <si>
    <t>用服负责人：</t>
  </si>
  <si>
    <t>临床负责人：</t>
  </si>
  <si>
    <t>机器序列号：</t>
  </si>
  <si>
    <t>科室负责人：</t>
    <phoneticPr fontId="1" type="noConversion"/>
  </si>
  <si>
    <t>联系方式：</t>
    <phoneticPr fontId="1" type="noConversion"/>
  </si>
  <si>
    <t>1.机器信息</t>
    <phoneticPr fontId="1" type="noConversion"/>
  </si>
  <si>
    <t>SD</t>
    <phoneticPr fontId="5" type="noConversion"/>
  </si>
  <si>
    <t>CV</t>
    <phoneticPr fontId="5" type="noConversion"/>
  </si>
  <si>
    <t>试剂批号</t>
    <phoneticPr fontId="5" type="noConversion"/>
  </si>
  <si>
    <t>质控品批号</t>
    <phoneticPr fontId="5" type="noConversion"/>
  </si>
  <si>
    <t>否      □</t>
    <phoneticPr fontId="1" type="noConversion"/>
  </si>
  <si>
    <t>已连接，且正常使用请勾选是</t>
    <phoneticPr fontId="1" type="noConversion"/>
  </si>
  <si>
    <t>未连接，请勾选否并备注未连接原因及预计连接时间</t>
    <phoneticPr fontId="1" type="noConversion"/>
  </si>
  <si>
    <t>问题</t>
    <phoneticPr fontId="1" type="noConversion"/>
  </si>
  <si>
    <t>注意：工程师填写完此单后请微信将数据信息传递给临床负责人，如果微信未回复的，请电话联系确认。交接单随装机报告上传CRM工单。</t>
    <phoneticPr fontId="1" type="noConversion"/>
  </si>
  <si>
    <t>软件版本：</t>
    <phoneticPr fontId="1" type="noConversion"/>
  </si>
  <si>
    <t>开展项目：</t>
    <phoneticPr fontId="1" type="noConversion"/>
  </si>
  <si>
    <t>项目</t>
    <phoneticPr fontId="5" type="noConversion"/>
  </si>
  <si>
    <t>Mean</t>
    <phoneticPr fontId="5" type="noConversion"/>
  </si>
  <si>
    <t>装机完成日期：</t>
    <phoneticPr fontId="1" type="noConversion"/>
  </si>
  <si>
    <t>测试日期/时间</t>
    <phoneticPr fontId="5" type="noConversion"/>
  </si>
  <si>
    <t>2.重复性确认</t>
    <phoneticPr fontId="1" type="noConversion"/>
  </si>
  <si>
    <t>重复性测试</t>
    <phoneticPr fontId="5" type="noConversion"/>
  </si>
  <si>
    <t xml:space="preserve">ALT </t>
  </si>
  <si>
    <t xml:space="preserve">GGT </t>
  </si>
  <si>
    <t xml:space="preserve">LDH </t>
  </si>
  <si>
    <t xml:space="preserve">TG </t>
  </si>
  <si>
    <t xml:space="preserve">Urea </t>
  </si>
  <si>
    <t xml:space="preserve">TBIL- V </t>
  </si>
  <si>
    <t xml:space="preserve">ApoB </t>
  </si>
  <si>
    <t xml:space="preserve">TP </t>
  </si>
  <si>
    <t xml:space="preserve">Ca </t>
  </si>
  <si>
    <t xml:space="preserve">P </t>
  </si>
  <si>
    <t xml:space="preserve">K </t>
  </si>
  <si>
    <t xml:space="preserve">Na </t>
  </si>
  <si>
    <t>Cl</t>
  </si>
  <si>
    <t>判断标准CV≤</t>
    <phoneticPr fontId="1" type="noConversion"/>
  </si>
  <si>
    <t>结论
合格/不合格</t>
    <phoneticPr fontId="5" type="noConversion"/>
  </si>
  <si>
    <t>3.LIS连接情况</t>
    <phoneticPr fontId="1" type="noConversion"/>
  </si>
  <si>
    <t>4.其他遗留问题</t>
    <phoneticPr fontId="1" type="noConversion"/>
  </si>
  <si>
    <t>取用迈瑞常规生化复合定值质控品，重复十次以下项目测试（K、 Na、 Cl 仅当配有 ISE 时测试）。</t>
    <phoneticPr fontId="1" type="noConversion"/>
  </si>
  <si>
    <r>
      <t>备注：</t>
    </r>
    <r>
      <rPr>
        <i/>
        <sz val="11"/>
        <color theme="1"/>
        <rFont val="宋体"/>
        <family val="3"/>
        <charset val="134"/>
      </rPr>
      <t>填写未连接原因及预计连接时间</t>
    </r>
    <phoneticPr fontId="1" type="noConversion"/>
  </si>
  <si>
    <t>是       □</t>
    <phoneticPr fontId="1" type="noConversion"/>
  </si>
  <si>
    <t>试剂盘内圈</t>
    <phoneticPr fontId="1" type="noConversion"/>
  </si>
  <si>
    <t>试剂盘外圈</t>
    <phoneticPr fontId="1" type="noConversion"/>
  </si>
  <si>
    <t>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</si>
</sst>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i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68">
    <xf numFmtId="0" fontId="0" fillId="0" borderId="0" xfId="0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7" fillId="0" borderId="1" xfId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10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0" xfId="0" applyFont="1" applyAlignment="1"/>
    <xf numFmtId="0" fontId="3" fillId="0" borderId="0" xfId="1" applyFont="1"/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10" xfId="0" applyFont="1" applyBorder="1"/>
    <xf numFmtId="0" fontId="10" fillId="2" borderId="11" xfId="0" applyFont="1" applyFill="1" applyBorder="1"/>
    <xf numFmtId="0" fontId="10" fillId="2" borderId="13" xfId="0" applyFont="1" applyFill="1" applyBorder="1"/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7" fillId="0" borderId="18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4" fillId="0" borderId="20" xfId="0" applyFont="1" applyBorder="1" applyAlignment="1"/>
    <xf numFmtId="0" fontId="6" fillId="0" borderId="20" xfId="0" applyFont="1" applyBorder="1" applyAlignment="1">
      <alignment horizontal="center"/>
    </xf>
    <xf numFmtId="0" fontId="7" fillId="0" borderId="20" xfId="1" applyFont="1" applyBorder="1" applyAlignment="1">
      <alignment horizontal="center" wrapText="1"/>
    </xf>
    <xf numFmtId="0" fontId="7" fillId="0" borderId="21" xfId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10" fontId="8" fillId="0" borderId="21" xfId="0" applyNumberFormat="1" applyFont="1" applyBorder="1" applyAlignment="1">
      <alignment horizontal="center" vertical="center" wrapText="1"/>
    </xf>
    <xf numFmtId="0" fontId="10" fillId="0" borderId="21" xfId="0" applyFont="1" applyBorder="1"/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10" fontId="8" fillId="0" borderId="22" xfId="0" applyNumberFormat="1" applyFont="1" applyBorder="1" applyAlignment="1">
      <alignment horizontal="center" vertical="center" wrapText="1"/>
    </xf>
    <xf numFmtId="10" fontId="8" fillId="0" borderId="23" xfId="0" applyNumberFormat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10" fillId="0" borderId="22" xfId="0" applyFont="1" applyBorder="1"/>
    <xf numFmtId="0" fontId="10" fillId="0" borderId="23" xfId="0" applyFont="1" applyBorder="1"/>
  </cellXfs>
  <cellStyles count="3">
    <cellStyle name="百分比 2" xfId="2" xr:uid="{00000000-0005-0000-0000-000000000000}"/>
    <cellStyle name="常规" xfId="0" builtinId="0"/>
    <cellStyle name="常规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9</xdr:col>
      <xdr:colOff>161290</xdr:colOff>
      <xdr:row>35</xdr:row>
      <xdr:rowOff>27780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A08420-B777-4C72-8A37-212776109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7300" y="0"/>
          <a:ext cx="5076190" cy="6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M22" sqref="M22"/>
    </sheetView>
  </sheetViews>
  <sheetFormatPr defaultColWidth="9" defaultRowHeight="14.4" x14ac:dyDescent="0.25"/>
  <cols>
    <col min="1" max="1" width="16.44140625" style="8" customWidth="1"/>
    <col min="2" max="14" width="12.21875" style="8" customWidth="1"/>
    <col min="15" max="16384" width="9" style="8"/>
  </cols>
  <sheetData>
    <row r="1" spans="1:14" ht="15.6" x14ac:dyDescent="0.25">
      <c r="A1" s="7" t="s">
        <v>7</v>
      </c>
    </row>
    <row r="3" spans="1:14" ht="28.8" x14ac:dyDescent="0.25">
      <c r="A3" s="4" t="s">
        <v>0</v>
      </c>
      <c r="B3" s="5"/>
      <c r="C3" s="4" t="s">
        <v>2</v>
      </c>
      <c r="D3" s="5"/>
    </row>
    <row r="4" spans="1:14" x14ac:dyDescent="0.25">
      <c r="A4" s="4" t="s">
        <v>5</v>
      </c>
      <c r="B4" s="5"/>
      <c r="C4" s="4" t="s">
        <v>6</v>
      </c>
      <c r="D4" s="5"/>
    </row>
    <row r="5" spans="1:14" ht="28.8" x14ac:dyDescent="0.25">
      <c r="A5" s="4" t="s">
        <v>1</v>
      </c>
      <c r="B5" s="5"/>
      <c r="C5" s="4" t="s">
        <v>4</v>
      </c>
      <c r="D5" s="5"/>
    </row>
    <row r="6" spans="1:14" ht="28.8" x14ac:dyDescent="0.25">
      <c r="A6" s="4" t="s">
        <v>17</v>
      </c>
      <c r="B6" s="5"/>
      <c r="C6" s="4" t="s">
        <v>21</v>
      </c>
      <c r="D6" s="5"/>
    </row>
    <row r="7" spans="1:14" x14ac:dyDescent="0.25">
      <c r="A7" s="4" t="s">
        <v>3</v>
      </c>
      <c r="B7" s="5"/>
      <c r="C7" s="4" t="s">
        <v>18</v>
      </c>
      <c r="D7" s="5"/>
    </row>
    <row r="10" spans="1:14" ht="15.6" x14ac:dyDescent="0.25">
      <c r="A10" s="7" t="s">
        <v>23</v>
      </c>
    </row>
    <row r="11" spans="1:14" ht="16.2" thickBot="1" x14ac:dyDescent="0.3">
      <c r="A11" s="7" t="s">
        <v>42</v>
      </c>
    </row>
    <row r="12" spans="1:14" ht="16.2" thickBot="1" x14ac:dyDescent="0.3">
      <c r="A12" s="21" t="s">
        <v>24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</row>
    <row r="13" spans="1:14" ht="15.6" x14ac:dyDescent="0.25">
      <c r="A13" s="39" t="s">
        <v>19</v>
      </c>
      <c r="B13" s="52" t="s">
        <v>45</v>
      </c>
      <c r="C13" s="41"/>
      <c r="D13" s="41"/>
      <c r="E13" s="41"/>
      <c r="F13" s="53"/>
      <c r="G13" s="52" t="s">
        <v>46</v>
      </c>
      <c r="H13" s="41"/>
      <c r="I13" s="41"/>
      <c r="J13" s="41"/>
      <c r="K13" s="53"/>
      <c r="L13" s="45" t="s">
        <v>47</v>
      </c>
      <c r="M13" s="41"/>
      <c r="N13" s="41"/>
    </row>
    <row r="14" spans="1:14" x14ac:dyDescent="0.25">
      <c r="A14" s="40"/>
      <c r="B14" s="54" t="s">
        <v>25</v>
      </c>
      <c r="C14" s="18" t="s">
        <v>26</v>
      </c>
      <c r="D14" s="18" t="s">
        <v>27</v>
      </c>
      <c r="E14" s="18" t="s">
        <v>28</v>
      </c>
      <c r="F14" s="55" t="s">
        <v>29</v>
      </c>
      <c r="G14" s="54" t="s">
        <v>30</v>
      </c>
      <c r="H14" s="18" t="s">
        <v>31</v>
      </c>
      <c r="I14" s="18" t="s">
        <v>32</v>
      </c>
      <c r="J14" s="18" t="s">
        <v>33</v>
      </c>
      <c r="K14" s="55" t="s">
        <v>34</v>
      </c>
      <c r="L14" s="46" t="s">
        <v>35</v>
      </c>
      <c r="M14" s="18" t="s">
        <v>36</v>
      </c>
      <c r="N14" s="18" t="s">
        <v>37</v>
      </c>
    </row>
    <row r="15" spans="1:14" x14ac:dyDescent="0.25">
      <c r="A15" s="42" t="s">
        <v>10</v>
      </c>
      <c r="B15" s="56"/>
      <c r="C15" s="2"/>
      <c r="D15" s="2"/>
      <c r="E15" s="2"/>
      <c r="F15" s="57"/>
      <c r="G15" s="56"/>
      <c r="H15" s="2"/>
      <c r="I15" s="2"/>
      <c r="J15" s="2"/>
      <c r="K15" s="57"/>
      <c r="L15" s="47"/>
      <c r="M15" s="2"/>
      <c r="N15" s="2"/>
    </row>
    <row r="16" spans="1:14" x14ac:dyDescent="0.25">
      <c r="A16" s="42" t="s">
        <v>11</v>
      </c>
      <c r="B16" s="56"/>
      <c r="C16" s="2"/>
      <c r="D16" s="2"/>
      <c r="E16" s="2"/>
      <c r="F16" s="57"/>
      <c r="G16" s="56"/>
      <c r="H16" s="2"/>
      <c r="I16" s="2"/>
      <c r="J16" s="2"/>
      <c r="K16" s="57"/>
      <c r="L16" s="47"/>
      <c r="M16" s="2"/>
      <c r="N16" s="2"/>
    </row>
    <row r="17" spans="1:14" x14ac:dyDescent="0.25">
      <c r="A17" s="42" t="s">
        <v>22</v>
      </c>
      <c r="B17" s="58"/>
      <c r="C17" s="1"/>
      <c r="D17" s="1"/>
      <c r="E17" s="1"/>
      <c r="F17" s="59"/>
      <c r="G17" s="58"/>
      <c r="H17" s="1"/>
      <c r="I17" s="1"/>
      <c r="J17" s="1"/>
      <c r="K17" s="59"/>
      <c r="L17" s="48"/>
      <c r="M17" s="1"/>
      <c r="N17" s="1"/>
    </row>
    <row r="18" spans="1:14" x14ac:dyDescent="0.25">
      <c r="A18" s="43">
        <v>1</v>
      </c>
      <c r="B18" s="60"/>
      <c r="C18" s="3"/>
      <c r="D18" s="3"/>
      <c r="E18" s="3"/>
      <c r="F18" s="61"/>
      <c r="G18" s="60"/>
      <c r="H18" s="3"/>
      <c r="I18" s="3"/>
      <c r="J18" s="3"/>
      <c r="K18" s="61"/>
      <c r="L18" s="49"/>
      <c r="M18" s="3"/>
      <c r="N18" s="3"/>
    </row>
    <row r="19" spans="1:14" x14ac:dyDescent="0.25">
      <c r="A19" s="43">
        <v>2</v>
      </c>
      <c r="B19" s="60"/>
      <c r="C19" s="3"/>
      <c r="D19" s="3"/>
      <c r="E19" s="3"/>
      <c r="F19" s="61"/>
      <c r="G19" s="60"/>
      <c r="H19" s="3"/>
      <c r="I19" s="3"/>
      <c r="J19" s="3"/>
      <c r="K19" s="61"/>
      <c r="L19" s="49"/>
      <c r="M19" s="3"/>
      <c r="N19" s="3"/>
    </row>
    <row r="20" spans="1:14" x14ac:dyDescent="0.25">
      <c r="A20" s="43">
        <v>3</v>
      </c>
      <c r="B20" s="60"/>
      <c r="C20" s="3"/>
      <c r="D20" s="3"/>
      <c r="E20" s="3"/>
      <c r="F20" s="61"/>
      <c r="G20" s="60"/>
      <c r="H20" s="3"/>
      <c r="I20" s="3"/>
      <c r="J20" s="3"/>
      <c r="K20" s="61"/>
      <c r="L20" s="49"/>
      <c r="M20" s="3"/>
      <c r="N20" s="3"/>
    </row>
    <row r="21" spans="1:14" x14ac:dyDescent="0.25">
      <c r="A21" s="43">
        <v>4</v>
      </c>
      <c r="B21" s="60"/>
      <c r="C21" s="3"/>
      <c r="D21" s="3"/>
      <c r="E21" s="3"/>
      <c r="F21" s="61"/>
      <c r="G21" s="60"/>
      <c r="H21" s="3"/>
      <c r="I21" s="3"/>
      <c r="J21" s="3"/>
      <c r="K21" s="61"/>
      <c r="L21" s="49"/>
      <c r="M21" s="3"/>
      <c r="N21" s="3"/>
    </row>
    <row r="22" spans="1:14" x14ac:dyDescent="0.25">
      <c r="A22" s="43">
        <v>5</v>
      </c>
      <c r="B22" s="60"/>
      <c r="C22" s="3"/>
      <c r="D22" s="3"/>
      <c r="E22" s="3"/>
      <c r="F22" s="61"/>
      <c r="G22" s="60"/>
      <c r="H22" s="3"/>
      <c r="I22" s="3"/>
      <c r="J22" s="3"/>
      <c r="K22" s="61"/>
      <c r="L22" s="49"/>
      <c r="M22" s="3"/>
      <c r="N22" s="3"/>
    </row>
    <row r="23" spans="1:14" x14ac:dyDescent="0.25">
      <c r="A23" s="43">
        <v>6</v>
      </c>
      <c r="B23" s="60"/>
      <c r="C23" s="3"/>
      <c r="D23" s="3"/>
      <c r="E23" s="3"/>
      <c r="F23" s="61"/>
      <c r="G23" s="60"/>
      <c r="H23" s="3"/>
      <c r="I23" s="3"/>
      <c r="J23" s="3"/>
      <c r="K23" s="61"/>
      <c r="L23" s="49"/>
      <c r="M23" s="3"/>
      <c r="N23" s="3"/>
    </row>
    <row r="24" spans="1:14" x14ac:dyDescent="0.25">
      <c r="A24" s="43">
        <v>7</v>
      </c>
      <c r="B24" s="60"/>
      <c r="C24" s="3"/>
      <c r="D24" s="3"/>
      <c r="E24" s="3"/>
      <c r="F24" s="61"/>
      <c r="G24" s="60"/>
      <c r="H24" s="3"/>
      <c r="I24" s="3"/>
      <c r="J24" s="3"/>
      <c r="K24" s="61"/>
      <c r="L24" s="49"/>
      <c r="M24" s="3"/>
      <c r="N24" s="3"/>
    </row>
    <row r="25" spans="1:14" x14ac:dyDescent="0.25">
      <c r="A25" s="43">
        <v>8</v>
      </c>
      <c r="B25" s="60"/>
      <c r="C25" s="3"/>
      <c r="D25" s="3"/>
      <c r="E25" s="3"/>
      <c r="F25" s="61"/>
      <c r="G25" s="60"/>
      <c r="H25" s="3"/>
      <c r="I25" s="3"/>
      <c r="J25" s="3"/>
      <c r="K25" s="61"/>
      <c r="L25" s="49"/>
      <c r="M25" s="3"/>
      <c r="N25" s="3"/>
    </row>
    <row r="26" spans="1:14" x14ac:dyDescent="0.25">
      <c r="A26" s="43">
        <v>9</v>
      </c>
      <c r="B26" s="60"/>
      <c r="C26" s="3"/>
      <c r="D26" s="3"/>
      <c r="E26" s="3"/>
      <c r="F26" s="61"/>
      <c r="G26" s="60"/>
      <c r="H26" s="3"/>
      <c r="I26" s="3"/>
      <c r="J26" s="3"/>
      <c r="K26" s="61"/>
      <c r="L26" s="49"/>
      <c r="M26" s="3"/>
      <c r="N26" s="3"/>
    </row>
    <row r="27" spans="1:14" x14ac:dyDescent="0.25">
      <c r="A27" s="43">
        <v>10</v>
      </c>
      <c r="B27" s="60"/>
      <c r="C27" s="3"/>
      <c r="D27" s="3"/>
      <c r="E27" s="3"/>
      <c r="F27" s="61"/>
      <c r="G27" s="60"/>
      <c r="H27" s="3"/>
      <c r="I27" s="3"/>
      <c r="J27" s="3"/>
      <c r="K27" s="61"/>
      <c r="L27" s="49"/>
      <c r="M27" s="3"/>
      <c r="N27" s="3"/>
    </row>
    <row r="28" spans="1:14" x14ac:dyDescent="0.25">
      <c r="A28" s="43" t="s">
        <v>8</v>
      </c>
      <c r="B28" s="56" t="e">
        <f>STDEV(B18:B27)</f>
        <v>#DIV/0!</v>
      </c>
      <c r="C28" s="2" t="e">
        <f>STDEV(C18:C27)</f>
        <v>#DIV/0!</v>
      </c>
      <c r="D28" s="2" t="e">
        <f>STDEV(D18:D27)</f>
        <v>#DIV/0!</v>
      </c>
      <c r="E28" s="2" t="e">
        <f>STDEV(E18:E27)</f>
        <v>#DIV/0!</v>
      </c>
      <c r="F28" s="57" t="e">
        <f>STDEV(F18:F27)</f>
        <v>#DIV/0!</v>
      </c>
      <c r="G28" s="56" t="e">
        <f t="shared" ref="G28:N28" si="0">STDEV(G18:G27)</f>
        <v>#DIV/0!</v>
      </c>
      <c r="H28" s="2" t="e">
        <f t="shared" si="0"/>
        <v>#DIV/0!</v>
      </c>
      <c r="I28" s="2" t="e">
        <f t="shared" si="0"/>
        <v>#DIV/0!</v>
      </c>
      <c r="J28" s="2" t="e">
        <f t="shared" si="0"/>
        <v>#DIV/0!</v>
      </c>
      <c r="K28" s="57" t="e">
        <f t="shared" si="0"/>
        <v>#DIV/0!</v>
      </c>
      <c r="L28" s="47" t="e">
        <f t="shared" si="0"/>
        <v>#DIV/0!</v>
      </c>
      <c r="M28" s="2" t="e">
        <f t="shared" si="0"/>
        <v>#DIV/0!</v>
      </c>
      <c r="N28" s="2" t="e">
        <f t="shared" si="0"/>
        <v>#DIV/0!</v>
      </c>
    </row>
    <row r="29" spans="1:14" x14ac:dyDescent="0.25">
      <c r="A29" s="43" t="s">
        <v>20</v>
      </c>
      <c r="B29" s="56" t="e">
        <f>AVERAGE(B18:B27)</f>
        <v>#DIV/0!</v>
      </c>
      <c r="C29" s="2" t="e">
        <f>AVERAGE(C18:C27)</f>
        <v>#DIV/0!</v>
      </c>
      <c r="D29" s="2" t="e">
        <f>AVERAGE(D18:D27)</f>
        <v>#DIV/0!</v>
      </c>
      <c r="E29" s="2" t="e">
        <f>AVERAGE(E18:E27)</f>
        <v>#DIV/0!</v>
      </c>
      <c r="F29" s="57" t="e">
        <f>AVERAGE(F18:F27)</f>
        <v>#DIV/0!</v>
      </c>
      <c r="G29" s="56" t="e">
        <f t="shared" ref="G29:N29" si="1">AVERAGE(G18:G27)</f>
        <v>#DIV/0!</v>
      </c>
      <c r="H29" s="2" t="e">
        <f t="shared" si="1"/>
        <v>#DIV/0!</v>
      </c>
      <c r="I29" s="2" t="e">
        <f t="shared" si="1"/>
        <v>#DIV/0!</v>
      </c>
      <c r="J29" s="2" t="e">
        <f t="shared" si="1"/>
        <v>#DIV/0!</v>
      </c>
      <c r="K29" s="57" t="e">
        <f t="shared" si="1"/>
        <v>#DIV/0!</v>
      </c>
      <c r="L29" s="47" t="e">
        <f t="shared" si="1"/>
        <v>#DIV/0!</v>
      </c>
      <c r="M29" s="2" t="e">
        <f t="shared" si="1"/>
        <v>#DIV/0!</v>
      </c>
      <c r="N29" s="2" t="e">
        <f t="shared" si="1"/>
        <v>#DIV/0!</v>
      </c>
    </row>
    <row r="30" spans="1:14" x14ac:dyDescent="0.25">
      <c r="A30" s="43" t="s">
        <v>9</v>
      </c>
      <c r="B30" s="56" t="e">
        <f t="shared" ref="B30:E30" si="2">B28/B28</f>
        <v>#DIV/0!</v>
      </c>
      <c r="C30" s="2" t="e">
        <f t="shared" si="2"/>
        <v>#DIV/0!</v>
      </c>
      <c r="D30" s="2" t="e">
        <f t="shared" si="2"/>
        <v>#DIV/0!</v>
      </c>
      <c r="E30" s="2" t="e">
        <f t="shared" si="2"/>
        <v>#DIV/0!</v>
      </c>
      <c r="F30" s="57" t="e">
        <f>F28/F28</f>
        <v>#DIV/0!</v>
      </c>
      <c r="G30" s="56" t="e">
        <f t="shared" ref="G30:N30" si="3">G28/G28</f>
        <v>#DIV/0!</v>
      </c>
      <c r="H30" s="2" t="e">
        <f t="shared" si="3"/>
        <v>#DIV/0!</v>
      </c>
      <c r="I30" s="2" t="e">
        <f t="shared" si="3"/>
        <v>#DIV/0!</v>
      </c>
      <c r="J30" s="2" t="e">
        <f t="shared" si="3"/>
        <v>#DIV/0!</v>
      </c>
      <c r="K30" s="57" t="e">
        <f t="shared" si="3"/>
        <v>#DIV/0!</v>
      </c>
      <c r="L30" s="47" t="e">
        <f t="shared" si="3"/>
        <v>#DIV/0!</v>
      </c>
      <c r="M30" s="2" t="e">
        <f t="shared" si="3"/>
        <v>#DIV/0!</v>
      </c>
      <c r="N30" s="2" t="e">
        <f t="shared" si="3"/>
        <v>#DIV/0!</v>
      </c>
    </row>
    <row r="31" spans="1:14" x14ac:dyDescent="0.25">
      <c r="A31" s="43" t="s">
        <v>38</v>
      </c>
      <c r="B31" s="62">
        <v>0.05</v>
      </c>
      <c r="C31" s="9">
        <v>0.03</v>
      </c>
      <c r="D31" s="9">
        <v>0.04</v>
      </c>
      <c r="E31" s="9">
        <v>0.03</v>
      </c>
      <c r="F31" s="63">
        <v>2.5000000000000001E-2</v>
      </c>
      <c r="G31" s="62">
        <v>0.03</v>
      </c>
      <c r="H31" s="9">
        <v>0.04</v>
      </c>
      <c r="I31" s="9">
        <v>0.03</v>
      </c>
      <c r="J31" s="9">
        <v>2.5000000000000001E-2</v>
      </c>
      <c r="K31" s="63">
        <v>0.03</v>
      </c>
      <c r="L31" s="50">
        <v>0.01</v>
      </c>
      <c r="M31" s="9">
        <v>1.4999999999999999E-2</v>
      </c>
      <c r="N31" s="9">
        <v>1.4999999999999999E-2</v>
      </c>
    </row>
    <row r="32" spans="1:14" ht="31.2" x14ac:dyDescent="0.25">
      <c r="A32" s="44" t="s">
        <v>39</v>
      </c>
      <c r="B32" s="64"/>
      <c r="C32" s="6"/>
      <c r="D32" s="6"/>
      <c r="E32" s="6"/>
      <c r="F32" s="65"/>
      <c r="G32" s="66"/>
      <c r="H32" s="10"/>
      <c r="I32" s="10"/>
      <c r="J32" s="10"/>
      <c r="K32" s="67"/>
      <c r="L32" s="51"/>
      <c r="M32" s="10"/>
      <c r="N32" s="10"/>
    </row>
    <row r="33" spans="1:3" ht="15.6" x14ac:dyDescent="0.25">
      <c r="A33" s="11"/>
      <c r="B33" s="11"/>
      <c r="C33" s="12"/>
    </row>
    <row r="35" spans="1:3" ht="15.6" x14ac:dyDescent="0.25">
      <c r="A35" s="7" t="s">
        <v>40</v>
      </c>
      <c r="B35" s="13" t="s">
        <v>44</v>
      </c>
      <c r="C35" s="13" t="s">
        <v>12</v>
      </c>
    </row>
    <row r="37" spans="1:3" x14ac:dyDescent="0.25">
      <c r="A37" s="14" t="s">
        <v>13</v>
      </c>
    </row>
    <row r="38" spans="1:3" x14ac:dyDescent="0.25">
      <c r="A38" s="14" t="s">
        <v>14</v>
      </c>
    </row>
    <row r="39" spans="1:3" ht="15" thickBot="1" x14ac:dyDescent="0.3"/>
    <row r="40" spans="1:3" x14ac:dyDescent="0.25">
      <c r="A40" s="28" t="s">
        <v>43</v>
      </c>
      <c r="B40" s="29"/>
      <c r="C40" s="30"/>
    </row>
    <row r="41" spans="1:3" x14ac:dyDescent="0.25">
      <c r="A41" s="31"/>
      <c r="B41" s="32"/>
      <c r="C41" s="33"/>
    </row>
    <row r="42" spans="1:3" x14ac:dyDescent="0.25">
      <c r="A42" s="31"/>
      <c r="B42" s="32"/>
      <c r="C42" s="33"/>
    </row>
    <row r="43" spans="1:3" ht="15" thickBot="1" x14ac:dyDescent="0.3">
      <c r="A43" s="34"/>
      <c r="B43" s="35"/>
      <c r="C43" s="36"/>
    </row>
    <row r="46" spans="1:3" ht="15.6" x14ac:dyDescent="0.25">
      <c r="A46" s="7" t="s">
        <v>41</v>
      </c>
    </row>
    <row r="47" spans="1:3" ht="15" thickBot="1" x14ac:dyDescent="0.3"/>
    <row r="48" spans="1:3" x14ac:dyDescent="0.25">
      <c r="A48" s="15" t="s">
        <v>15</v>
      </c>
      <c r="B48" s="37"/>
      <c r="C48" s="38"/>
    </row>
    <row r="49" spans="1:4" x14ac:dyDescent="0.25">
      <c r="A49" s="16"/>
      <c r="B49" s="24"/>
      <c r="C49" s="25"/>
    </row>
    <row r="50" spans="1:4" x14ac:dyDescent="0.25">
      <c r="A50" s="16"/>
      <c r="B50" s="24"/>
      <c r="C50" s="25"/>
    </row>
    <row r="51" spans="1:4" x14ac:dyDescent="0.25">
      <c r="A51" s="16"/>
      <c r="B51" s="24"/>
      <c r="C51" s="25"/>
    </row>
    <row r="52" spans="1:4" x14ac:dyDescent="0.25">
      <c r="A52" s="16"/>
      <c r="B52" s="24"/>
      <c r="C52" s="25"/>
    </row>
    <row r="53" spans="1:4" x14ac:dyDescent="0.25">
      <c r="A53" s="16"/>
      <c r="B53" s="24"/>
      <c r="C53" s="25"/>
    </row>
    <row r="54" spans="1:4" ht="15" thickBot="1" x14ac:dyDescent="0.3">
      <c r="A54" s="17"/>
      <c r="B54" s="26"/>
      <c r="C54" s="27"/>
    </row>
    <row r="57" spans="1:4" x14ac:dyDescent="0.25">
      <c r="A57" s="19" t="s">
        <v>16</v>
      </c>
      <c r="B57" s="20"/>
      <c r="C57" s="20"/>
      <c r="D57" s="20"/>
    </row>
    <row r="58" spans="1:4" x14ac:dyDescent="0.25">
      <c r="A58" s="20"/>
      <c r="B58" s="20"/>
      <c r="C58" s="20"/>
      <c r="D58" s="20"/>
    </row>
  </sheetData>
  <mergeCells count="14">
    <mergeCell ref="A57:D58"/>
    <mergeCell ref="A12:N12"/>
    <mergeCell ref="B49:C49"/>
    <mergeCell ref="B50:C50"/>
    <mergeCell ref="B51:C51"/>
    <mergeCell ref="B52:C52"/>
    <mergeCell ref="B53:C53"/>
    <mergeCell ref="B54:C54"/>
    <mergeCell ref="A40:C43"/>
    <mergeCell ref="B48:C48"/>
    <mergeCell ref="A13:A14"/>
    <mergeCell ref="B13:F13"/>
    <mergeCell ref="G13:K13"/>
    <mergeCell ref="L13:N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8" sqref="K8"/>
    </sheetView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BS-5000系列交接表</vt:lpstr>
      <vt:lpstr>交接流程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2025-12-17T03:43:07Z</dcterms:modified>
</cp:coreProperties>
</file>