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9944AF19-5018-469A-BD30-F9BC00FD8C89}" xr6:coauthVersionLast="47" xr6:coauthVersionMax="47" xr10:uidLastSave="{00000000-0000-0000-0000-000000000000}"/>
  <bookViews>
    <workbookView xWindow="-110" yWindow="-110" windowWidth="19420" windowHeight="11500" xr2:uid="{00000000-000D-0000-FFFF-FFFF00000000}"/>
  </bookViews>
  <sheets>
    <sheet name="1" sheetId="2" r:id="rId1"/>
    <sheet name="BA5K测试项" sheetId="3" r:id="rId2"/>
  </sheets>
  <definedNames>
    <definedName name="_Hlk64905826" localSheetId="0">'1'!$A$129</definedName>
    <definedName name="_Hlk82100137" localSheetId="0">'1'!#REF!</definedName>
    <definedName name="_Toc68610981" localSheetId="0">'1'!$A$37</definedName>
    <definedName name="_xlnm.Print_Area" localSheetId="0">'1'!$A$1:$Q$708,'1'!$R$1:$Z$20</definedName>
  </definedNames>
  <calcPr calcId="191029"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21" i="2" l="1"/>
  <c r="M423" i="2"/>
  <c r="L425" i="2"/>
  <c r="J421" i="2"/>
  <c r="J423" i="2"/>
  <c r="I425" i="2"/>
  <c r="G421" i="2"/>
  <c r="G423" i="2"/>
  <c r="F425" i="2"/>
  <c r="D421" i="2"/>
  <c r="D423" i="2"/>
  <c r="C425" i="2"/>
  <c r="M393" i="2"/>
  <c r="M395" i="2"/>
  <c r="L397" i="2"/>
  <c r="J393" i="2"/>
  <c r="J395" i="2"/>
  <c r="I397" i="2"/>
  <c r="G393" i="2"/>
  <c r="G395" i="2"/>
  <c r="F397" i="2"/>
  <c r="D393" i="2"/>
  <c r="D395" i="2"/>
  <c r="C397" i="2"/>
  <c r="O365" i="2"/>
  <c r="O367" i="2"/>
  <c r="M369" i="2"/>
  <c r="J365" i="2"/>
  <c r="J367" i="2"/>
  <c r="H369" i="2"/>
  <c r="E365" i="2"/>
  <c r="E367" i="2"/>
  <c r="C369" i="2"/>
  <c r="O337" i="2"/>
  <c r="O339" i="2"/>
  <c r="M341" i="2"/>
  <c r="J337" i="2"/>
  <c r="J339" i="2"/>
  <c r="H341" i="2"/>
  <c r="E337" i="2"/>
  <c r="E339" i="2"/>
  <c r="C341" i="2"/>
  <c r="M150" i="2"/>
  <c r="M149" i="2"/>
  <c r="H150" i="2"/>
  <c r="H149" i="2"/>
  <c r="M140" i="2"/>
  <c r="M139" i="2"/>
  <c r="H140" i="2"/>
  <c r="H139" i="2"/>
  <c r="K567" i="2"/>
  <c r="H567" i="2"/>
  <c r="K566" i="2"/>
  <c r="H566" i="2"/>
  <c r="K565" i="2"/>
  <c r="H565" i="2"/>
  <c r="K564" i="2"/>
  <c r="H564" i="2"/>
  <c r="K563" i="2"/>
  <c r="H563" i="2"/>
  <c r="K562" i="2"/>
  <c r="H562" i="2"/>
  <c r="K561" i="2"/>
  <c r="H561" i="2"/>
  <c r="O561" i="2"/>
  <c r="K560" i="2"/>
  <c r="H560" i="2"/>
  <c r="K557" i="2"/>
  <c r="H557" i="2"/>
  <c r="O557" i="2"/>
  <c r="K556" i="2"/>
  <c r="H556" i="2"/>
  <c r="O556" i="2"/>
  <c r="K555" i="2"/>
  <c r="H555" i="2"/>
  <c r="K554" i="2"/>
  <c r="H554" i="2"/>
  <c r="K553" i="2"/>
  <c r="H553" i="2"/>
  <c r="O553" i="2"/>
  <c r="K552" i="2"/>
  <c r="H552" i="2"/>
  <c r="K551" i="2"/>
  <c r="H551" i="2"/>
  <c r="O551" i="2"/>
  <c r="K550" i="2"/>
  <c r="H550" i="2"/>
  <c r="O550" i="2"/>
  <c r="K546" i="2"/>
  <c r="H546" i="2"/>
  <c r="K545" i="2"/>
  <c r="H545" i="2"/>
  <c r="K544" i="2"/>
  <c r="H544" i="2"/>
  <c r="K543" i="2"/>
  <c r="H543" i="2"/>
  <c r="K542" i="2"/>
  <c r="H542" i="2"/>
  <c r="O542" i="2"/>
  <c r="K541" i="2"/>
  <c r="H541" i="2"/>
  <c r="O541" i="2"/>
  <c r="K540" i="2"/>
  <c r="H540" i="2"/>
  <c r="K539" i="2"/>
  <c r="H539" i="2"/>
  <c r="O539" i="2"/>
  <c r="O554" i="2"/>
  <c r="O565" i="2"/>
  <c r="O562" i="2"/>
  <c r="O564" i="2"/>
  <c r="O567" i="2"/>
  <c r="O543" i="2"/>
  <c r="O546" i="2"/>
  <c r="O552" i="2"/>
  <c r="O555" i="2"/>
  <c r="O560" i="2"/>
  <c r="O563" i="2"/>
  <c r="O566" i="2"/>
  <c r="O545" i="2"/>
  <c r="O540" i="2"/>
  <c r="O544" i="2"/>
  <c r="I807" i="2"/>
  <c r="F807" i="2"/>
  <c r="C807" i="2"/>
  <c r="I806" i="2"/>
  <c r="F806" i="2"/>
  <c r="C806" i="2"/>
  <c r="M794" i="2"/>
  <c r="H794" i="2"/>
  <c r="C794" i="2"/>
  <c r="M793" i="2"/>
  <c r="H793" i="2"/>
  <c r="C793" i="2"/>
  <c r="M774" i="2"/>
  <c r="M773" i="2"/>
  <c r="M772" i="2"/>
  <c r="M771" i="2"/>
  <c r="M770" i="2"/>
  <c r="P776" i="2"/>
  <c r="M754" i="2"/>
  <c r="M753" i="2"/>
  <c r="M752" i="2"/>
  <c r="M751" i="2"/>
  <c r="M750" i="2"/>
  <c r="P756" i="2"/>
  <c r="M734" i="2"/>
  <c r="M733" i="2"/>
  <c r="M732" i="2"/>
  <c r="M731" i="2"/>
  <c r="M730" i="2"/>
  <c r="P736" i="2"/>
  <c r="M722" i="2"/>
  <c r="H722" i="2"/>
  <c r="C722" i="2"/>
  <c r="M721" i="2"/>
  <c r="H721" i="2"/>
  <c r="C721" i="2"/>
  <c r="M705" i="2"/>
  <c r="H705" i="2"/>
  <c r="C705" i="2"/>
  <c r="M704" i="2"/>
  <c r="H704" i="2"/>
  <c r="C704" i="2"/>
  <c r="M703" i="2"/>
  <c r="H703" i="2"/>
  <c r="C703" i="2"/>
  <c r="I521" i="2"/>
  <c r="H521" i="2"/>
  <c r="G521" i="2"/>
  <c r="F521" i="2"/>
  <c r="E521" i="2"/>
  <c r="D521" i="2"/>
  <c r="C521" i="2"/>
  <c r="B521" i="2"/>
  <c r="I520" i="2"/>
  <c r="H520" i="2"/>
  <c r="G520" i="2"/>
  <c r="F520" i="2"/>
  <c r="E520" i="2"/>
  <c r="D520" i="2"/>
  <c r="C520" i="2"/>
  <c r="B520" i="2"/>
  <c r="K289" i="2"/>
  <c r="L289" i="2"/>
  <c r="M289" i="2"/>
  <c r="N289" i="2"/>
  <c r="O289" i="2"/>
  <c r="P289" i="2"/>
  <c r="Q289" i="2"/>
  <c r="E123" i="2"/>
  <c r="E522" i="2"/>
  <c r="E524" i="2"/>
  <c r="B522" i="2"/>
  <c r="B524" i="2"/>
  <c r="D522" i="2"/>
  <c r="D524" i="2"/>
  <c r="H522" i="2"/>
  <c r="H524" i="2"/>
  <c r="C707" i="2"/>
  <c r="H707" i="2"/>
  <c r="F522" i="2"/>
  <c r="F524" i="2"/>
  <c r="G522" i="2"/>
  <c r="G524" i="2"/>
  <c r="I522" i="2"/>
  <c r="I524" i="2"/>
  <c r="M707" i="2"/>
  <c r="M723" i="2"/>
  <c r="M725" i="2"/>
  <c r="C810" i="2"/>
  <c r="H796" i="2"/>
  <c r="H798" i="2"/>
  <c r="F810" i="2"/>
  <c r="H723" i="2"/>
  <c r="H725" i="2"/>
  <c r="C796" i="2"/>
  <c r="C798" i="2"/>
  <c r="C723" i="2"/>
  <c r="C725" i="2"/>
  <c r="M796" i="2"/>
  <c r="M798" i="2"/>
  <c r="I810" i="2"/>
  <c r="C522" i="2"/>
  <c r="C524" i="2"/>
  <c r="M776" i="2"/>
  <c r="M756" i="2"/>
  <c r="M736" i="2"/>
  <c r="H138" i="2"/>
  <c r="H141" i="2"/>
  <c r="K536" i="2"/>
  <c r="H536" i="2"/>
  <c r="K535" i="2"/>
  <c r="H535" i="2"/>
  <c r="K534" i="2"/>
  <c r="H534" i="2"/>
  <c r="K533" i="2"/>
  <c r="H533" i="2"/>
  <c r="K532" i="2"/>
  <c r="H532" i="2"/>
  <c r="K531" i="2"/>
  <c r="H531" i="2"/>
  <c r="K530" i="2"/>
  <c r="H530" i="2"/>
  <c r="K529" i="2"/>
  <c r="H529" i="2"/>
  <c r="B111" i="2"/>
  <c r="B103" i="2"/>
  <c r="C492" i="2"/>
  <c r="D492" i="2"/>
  <c r="E492" i="2"/>
  <c r="F492" i="2"/>
  <c r="G492" i="2"/>
  <c r="H492" i="2"/>
  <c r="I492" i="2"/>
  <c r="C491" i="2"/>
  <c r="D491" i="2"/>
  <c r="E491" i="2"/>
  <c r="F491" i="2"/>
  <c r="G491" i="2"/>
  <c r="H491" i="2"/>
  <c r="I491" i="2"/>
  <c r="E440" i="2"/>
  <c r="E125" i="2"/>
  <c r="L123" i="2"/>
  <c r="L125" i="2"/>
  <c r="I493" i="2"/>
  <c r="C493" i="2"/>
  <c r="E493" i="2"/>
  <c r="H493" i="2"/>
  <c r="G493" i="2"/>
  <c r="F493" i="2"/>
  <c r="D493" i="2"/>
  <c r="Q311" i="2"/>
  <c r="P311" i="2"/>
  <c r="O311" i="2"/>
  <c r="N311" i="2"/>
  <c r="M311" i="2"/>
  <c r="L311" i="2"/>
  <c r="K311" i="2"/>
  <c r="Q309" i="2"/>
  <c r="P309" i="2"/>
  <c r="O309" i="2"/>
  <c r="N309" i="2"/>
  <c r="M309" i="2"/>
  <c r="L309" i="2"/>
  <c r="K309" i="2"/>
  <c r="Q300" i="2"/>
  <c r="P300" i="2"/>
  <c r="O300" i="2"/>
  <c r="N300" i="2"/>
  <c r="M300" i="2"/>
  <c r="L300" i="2"/>
  <c r="K300" i="2"/>
  <c r="Q298" i="2"/>
  <c r="P298" i="2"/>
  <c r="O298" i="2"/>
  <c r="N298" i="2"/>
  <c r="M298" i="2"/>
  <c r="L298" i="2"/>
  <c r="K298" i="2"/>
  <c r="Q287" i="2"/>
  <c r="P287" i="2"/>
  <c r="O287" i="2"/>
  <c r="N287" i="2"/>
  <c r="M287" i="2"/>
  <c r="L287" i="2"/>
  <c r="K287" i="2"/>
  <c r="P278" i="2"/>
  <c r="P276" i="2"/>
  <c r="Q276" i="2"/>
  <c r="Q278" i="2"/>
  <c r="O278" i="2"/>
  <c r="N278" i="2"/>
  <c r="M278" i="2"/>
  <c r="L278" i="2"/>
  <c r="K278" i="2"/>
  <c r="K276" i="2"/>
  <c r="L276" i="2"/>
  <c r="M276" i="2"/>
  <c r="N276" i="2"/>
  <c r="O276" i="2"/>
  <c r="M138" i="2"/>
  <c r="M141" i="2"/>
  <c r="O536" i="2"/>
  <c r="O535" i="2"/>
  <c r="M652" i="2"/>
  <c r="M658" i="2"/>
  <c r="M653" i="2"/>
  <c r="M654" i="2"/>
  <c r="M655" i="2"/>
  <c r="M656" i="2"/>
  <c r="M632" i="2"/>
  <c r="P638" i="2"/>
  <c r="M612" i="2"/>
  <c r="M633" i="2"/>
  <c r="M634" i="2"/>
  <c r="M635" i="2"/>
  <c r="M636" i="2"/>
  <c r="M613" i="2"/>
  <c r="M614" i="2"/>
  <c r="M615" i="2"/>
  <c r="M616" i="2"/>
  <c r="E452" i="2"/>
  <c r="E453" i="2"/>
  <c r="E434" i="2"/>
  <c r="M262" i="2"/>
  <c r="M263" i="2"/>
  <c r="H262" i="2"/>
  <c r="H263" i="2"/>
  <c r="M220" i="2"/>
  <c r="M221" i="2"/>
  <c r="H220" i="2"/>
  <c r="H221" i="2"/>
  <c r="M178" i="2"/>
  <c r="M177" i="2"/>
  <c r="H178" i="2"/>
  <c r="H177" i="2"/>
  <c r="M148" i="2"/>
  <c r="M151" i="2"/>
  <c r="H148" i="2"/>
  <c r="H151" i="2"/>
  <c r="O530" i="2"/>
  <c r="O531" i="2"/>
  <c r="O532" i="2"/>
  <c r="O533" i="2"/>
  <c r="O534" i="2"/>
  <c r="O529" i="2"/>
  <c r="B491" i="2"/>
  <c r="B492" i="2"/>
  <c r="H578" i="2"/>
  <c r="H579" i="2"/>
  <c r="H580" i="2"/>
  <c r="M578" i="2"/>
  <c r="M579" i="2"/>
  <c r="M580" i="2"/>
  <c r="C578" i="2"/>
  <c r="C579" i="2"/>
  <c r="C580" i="2"/>
  <c r="H603" i="2"/>
  <c r="H602" i="2"/>
  <c r="M603" i="2"/>
  <c r="M602" i="2"/>
  <c r="C603" i="2"/>
  <c r="C602" i="2"/>
  <c r="H675" i="2"/>
  <c r="H676" i="2"/>
  <c r="M675" i="2"/>
  <c r="M676" i="2"/>
  <c r="C675" i="2"/>
  <c r="C676" i="2"/>
  <c r="F690" i="2"/>
  <c r="F691" i="2"/>
  <c r="I690" i="2"/>
  <c r="I691" i="2"/>
  <c r="C690" i="2"/>
  <c r="C691" i="2"/>
  <c r="H582" i="2"/>
  <c r="C582" i="2"/>
  <c r="P618" i="2"/>
  <c r="M638" i="2"/>
  <c r="M618" i="2"/>
  <c r="P658" i="2"/>
  <c r="O656" i="2"/>
  <c r="F694" i="2"/>
  <c r="H604" i="2"/>
  <c r="H606" i="2"/>
  <c r="M582" i="2"/>
  <c r="H179" i="2"/>
  <c r="H181" i="2"/>
  <c r="I694" i="2"/>
  <c r="C678" i="2"/>
  <c r="C680" i="2"/>
  <c r="H264" i="2"/>
  <c r="H266" i="2"/>
  <c r="M264" i="2"/>
  <c r="M266" i="2"/>
  <c r="H222" i="2"/>
  <c r="H224" i="2"/>
  <c r="C694" i="2"/>
  <c r="H495" i="2"/>
  <c r="M222" i="2"/>
  <c r="M224" i="2"/>
  <c r="M678" i="2"/>
  <c r="M680" i="2"/>
  <c r="G495" i="2"/>
  <c r="I495" i="2"/>
  <c r="C495" i="2"/>
  <c r="F495" i="2"/>
  <c r="C604" i="2"/>
  <c r="C606" i="2"/>
  <c r="E495" i="2"/>
  <c r="E456" i="2"/>
  <c r="M604" i="2"/>
  <c r="M606" i="2"/>
  <c r="H678" i="2"/>
  <c r="H680" i="2"/>
  <c r="B493" i="2"/>
  <c r="B495" i="2"/>
  <c r="D495" i="2"/>
  <c r="M179" i="2"/>
  <c r="M181" i="2"/>
  <c r="O770" i="2"/>
  <c r="O774" i="2"/>
  <c r="O636" i="2"/>
  <c r="H756" i="2"/>
  <c r="C756" i="2"/>
  <c r="A755" i="2"/>
  <c r="O753" i="2"/>
  <c r="O751" i="2"/>
  <c r="O750" i="2"/>
  <c r="O752" i="2"/>
  <c r="O754" i="2"/>
  <c r="O772" i="2"/>
  <c r="O731" i="2"/>
  <c r="O733" i="2"/>
  <c r="O730" i="2"/>
  <c r="O732" i="2"/>
  <c r="O734" i="2"/>
  <c r="H736" i="2"/>
  <c r="C736" i="2"/>
  <c r="A735" i="2"/>
  <c r="O771" i="2"/>
  <c r="O773" i="2"/>
  <c r="H776" i="2"/>
  <c r="C776" i="2"/>
  <c r="A775" i="2"/>
  <c r="O614" i="2"/>
  <c r="O633" i="2"/>
  <c r="O635" i="2"/>
  <c r="O632" i="2"/>
  <c r="H638" i="2"/>
  <c r="C638" i="2"/>
  <c r="A637" i="2"/>
  <c r="O634" i="2"/>
  <c r="H658" i="2"/>
  <c r="C658" i="2"/>
  <c r="A657" i="2"/>
  <c r="O613" i="2"/>
  <c r="O616" i="2"/>
  <c r="O612" i="2"/>
  <c r="H618" i="2"/>
  <c r="C618" i="2"/>
  <c r="A617" i="2"/>
  <c r="O615" i="2"/>
  <c r="O652" i="2"/>
  <c r="O655" i="2"/>
  <c r="O653" i="2"/>
  <c r="O654" i="2"/>
  <c r="B786" i="2"/>
  <c r="B766" i="2"/>
  <c r="B746" i="2"/>
  <c r="B648" i="2"/>
  <c r="B668" i="2"/>
  <c r="B628" i="2"/>
</calcChain>
</file>

<file path=xl/sharedStrings.xml><?xml version="1.0" encoding="utf-8"?>
<sst xmlns="http://schemas.openxmlformats.org/spreadsheetml/2006/main" count="1121" uniqueCount="424">
  <si>
    <t>医院名称：</t>
    <phoneticPr fontId="1" type="noConversion"/>
  </si>
  <si>
    <t>K</t>
  </si>
  <si>
    <t>Na</t>
  </si>
  <si>
    <t>Cl</t>
  </si>
  <si>
    <t>SD</t>
  </si>
  <si>
    <t>CV</t>
  </si>
  <si>
    <t>结论</t>
  </si>
  <si>
    <t>使用科室：</t>
    <phoneticPr fontId="1" type="noConversion"/>
  </si>
  <si>
    <t>仪器制造商：</t>
    <phoneticPr fontId="1" type="noConversion"/>
  </si>
  <si>
    <t>仪器序列号：</t>
    <phoneticPr fontId="1" type="noConversion"/>
  </si>
  <si>
    <t>校准单位：</t>
    <phoneticPr fontId="1" type="noConversion"/>
  </si>
  <si>
    <t>校准人员：</t>
    <phoneticPr fontId="1" type="noConversion"/>
  </si>
  <si>
    <t>校准日期：</t>
    <phoneticPr fontId="1" type="noConversion"/>
  </si>
  <si>
    <t>有效期至：</t>
    <phoneticPr fontId="1" type="noConversion"/>
  </si>
  <si>
    <t>二、工作环境及仪器状态检测</t>
    <phoneticPr fontId="1" type="noConversion"/>
  </si>
  <si>
    <t>（一）工作环境检测</t>
    <phoneticPr fontId="1" type="noConversion"/>
  </si>
  <si>
    <t>工作环境检测</t>
  </si>
  <si>
    <t>检测仪器的工作环境是否符合要求</t>
  </si>
  <si>
    <t>检测项目</t>
  </si>
  <si>
    <t>要求</t>
  </si>
  <si>
    <t>检测结果</t>
  </si>
  <si>
    <t>环境温度</t>
  </si>
  <si>
    <t>15-30℃</t>
  </si>
  <si>
    <t>湿度</t>
  </si>
  <si>
    <t>35%-85%</t>
  </si>
  <si>
    <t>电压</t>
  </si>
  <si>
    <t>220-240V</t>
  </si>
  <si>
    <t>零地电压</t>
  </si>
  <si>
    <t>&lt;5V</t>
  </si>
  <si>
    <t>废液排放情况</t>
  </si>
  <si>
    <t>进水比阻(M.cm@25℃)</t>
  </si>
  <si>
    <t>检测值</t>
    <phoneticPr fontId="1" type="noConversion"/>
  </si>
  <si>
    <t>（二）仪器维护保养</t>
    <phoneticPr fontId="1" type="noConversion"/>
  </si>
  <si>
    <t>为真实反映仪器的状态，在执行基础性能验证之前，需对仪器进行全面的维护和保养。</t>
  </si>
  <si>
    <t>维护项目</t>
  </si>
  <si>
    <t>完成情况</t>
  </si>
  <si>
    <t>（三）仪器基本状态检查</t>
    <phoneticPr fontId="1" type="noConversion"/>
  </si>
  <si>
    <t>评价仪器的主要功能模块工作状态是否符合要求</t>
  </si>
  <si>
    <t>检查项目</t>
  </si>
  <si>
    <t>状态要求</t>
  </si>
  <si>
    <t>实际状态</t>
  </si>
  <si>
    <t>正常</t>
  </si>
  <si>
    <t>37±0.3</t>
  </si>
  <si>
    <t>37~47</t>
  </si>
  <si>
    <t>结论</t>
    <phoneticPr fontId="1" type="noConversion"/>
  </si>
  <si>
    <t>（四）仪器压力状态检测</t>
    <phoneticPr fontId="1" type="noConversion"/>
  </si>
  <si>
    <t>评价仪器在工作状态时，真空及压力建立系统工作状态是否符合要求</t>
  </si>
  <si>
    <t>检测要求</t>
  </si>
  <si>
    <t>三、仪器校准与检测内容</t>
    <phoneticPr fontId="1" type="noConversion"/>
  </si>
  <si>
    <t>（一）主机位置校准</t>
    <phoneticPr fontId="1" type="noConversion"/>
  </si>
  <si>
    <t>校准位置参数</t>
  </si>
  <si>
    <t>参数值</t>
  </si>
  <si>
    <t>校准状态</t>
  </si>
  <si>
    <t>通道</t>
  </si>
  <si>
    <t>结果</t>
  </si>
  <si>
    <t>内圈暗电流测试</t>
  </si>
  <si>
    <t>暗电流均值</t>
  </si>
  <si>
    <t>暗电流SD</t>
  </si>
  <si>
    <t>参考中华人民共和国医药行业标准YY/T0654-2017，用去离子水参比，在340nm处测定50g/L的亚硝酸钠标准溶液，检测仪器的杂散光水平。</t>
    <phoneticPr fontId="1" type="noConversion"/>
  </si>
  <si>
    <t>试剂批号：</t>
  </si>
  <si>
    <t>测试次数</t>
  </si>
  <si>
    <t>亚硝酸钠试剂吸光度</t>
  </si>
  <si>
    <t>外圈</t>
  </si>
  <si>
    <t>内圈</t>
  </si>
  <si>
    <t>最小值</t>
  </si>
  <si>
    <t>指标</t>
  </si>
  <si>
    <t>参考中华人民共和国医药行业标准YY/T0654-2017，吸光度准确性应符合以下规定：</t>
    <phoneticPr fontId="1" type="noConversion"/>
  </si>
  <si>
    <t>允许偏差</t>
    <phoneticPr fontId="1" type="noConversion"/>
  </si>
  <si>
    <t>±0.025</t>
    <phoneticPr fontId="1" type="noConversion"/>
  </si>
  <si>
    <t>±0.07</t>
    <phoneticPr fontId="1" type="noConversion"/>
  </si>
  <si>
    <t>在340nm波长下，1.0A重铬酸钾重复测定3次的吸光度值</t>
    <phoneticPr fontId="1" type="noConversion"/>
  </si>
  <si>
    <t>试剂名称：</t>
  </si>
  <si>
    <t>测试数据</t>
  </si>
  <si>
    <t>次数</t>
  </si>
  <si>
    <t>反应盘内圈吸光度值</t>
  </si>
  <si>
    <t>反应盘外圈吸光度值</t>
  </si>
  <si>
    <t>准确性计算</t>
  </si>
  <si>
    <t>指标上限</t>
  </si>
  <si>
    <t>指标下限</t>
  </si>
  <si>
    <t>1.0A 重铬酸钾</t>
    <phoneticPr fontId="1" type="noConversion"/>
  </si>
  <si>
    <t>在340nm波长下，0.5A重铬酸钾重复测定3次的吸光度值</t>
    <phoneticPr fontId="1" type="noConversion"/>
  </si>
  <si>
    <t>0.5A 重铬酸钾</t>
    <phoneticPr fontId="1" type="noConversion"/>
  </si>
  <si>
    <t>在340nm波长下，重复测定1.0A橙黄G标准溶液重复测定20次。
参考中华人民共和国医药行业标准YY/T0654-2017，吸光度重复性的变异系数cv应不大于1.5%；</t>
    <phoneticPr fontId="1" type="noConversion"/>
  </si>
  <si>
    <t>反应盘内圈吸光度</t>
  </si>
  <si>
    <t>反应盘外圈吸光度</t>
  </si>
  <si>
    <t>重复性计算</t>
  </si>
  <si>
    <t>Mean</t>
  </si>
  <si>
    <t>1A橙黄G标准溶液</t>
    <phoneticPr fontId="1" type="noConversion"/>
  </si>
  <si>
    <t>次数</t>
    <phoneticPr fontId="1" type="noConversion"/>
  </si>
  <si>
    <t>重复性指标要求</t>
    <phoneticPr fontId="1" type="noConversion"/>
  </si>
  <si>
    <t>稳定性计算</t>
  </si>
  <si>
    <t>MAX</t>
  </si>
  <si>
    <t>MIN</t>
  </si>
  <si>
    <t>MAX-MIN</t>
  </si>
  <si>
    <t>0.5A硫酸铜溶液</t>
    <phoneticPr fontId="1" type="noConversion"/>
  </si>
  <si>
    <t>Dye批号：</t>
  </si>
  <si>
    <t>/</t>
  </si>
  <si>
    <t>重复次数</t>
  </si>
  <si>
    <t>吸光度</t>
  </si>
  <si>
    <t>2、橙黄G(4.2A)11个梯度浓度的反应盘外圈吸光度线性值（450nm）</t>
    <phoneticPr fontId="1" type="noConversion"/>
  </si>
  <si>
    <t>3、重铬酸钾（4.2A）11个梯度浓度的反应盘内吸光度线性值(340nm)</t>
    <phoneticPr fontId="1" type="noConversion"/>
  </si>
  <si>
    <t>4、重铬酸钾（4.2A）11个梯度浓度的反应盘外吸光度线性值(340nm)</t>
    <phoneticPr fontId="1" type="noConversion"/>
  </si>
  <si>
    <t>CV指标</t>
  </si>
  <si>
    <t>加样均值</t>
  </si>
  <si>
    <t>加样误差</t>
  </si>
  <si>
    <t>吸光度</t>
    <phoneticPr fontId="1" type="noConversion"/>
  </si>
  <si>
    <t>样本针S2加样重复性测试结果：</t>
    <phoneticPr fontId="1" type="noConversion"/>
  </si>
  <si>
    <t>R11</t>
  </si>
  <si>
    <t>R12</t>
  </si>
  <si>
    <t>R21</t>
  </si>
  <si>
    <t>R22</t>
  </si>
  <si>
    <t>参考中华人民共和国医药行业标准YY/T0654-2017，配制样品携带污染试剂Dye（加入50mg Orange G到5ml溶解的血清中混匀）和样品携带污染试剂Control Dye（由Dye稀释200倍），测定仪器样本针的携带污染率。</t>
    <phoneticPr fontId="1" type="noConversion"/>
  </si>
  <si>
    <t>测试描述</t>
  </si>
  <si>
    <t>橙黄G样本针携带污染</t>
  </si>
  <si>
    <t>参考色素均值</t>
  </si>
  <si>
    <t>携带污染率均值</t>
  </si>
  <si>
    <t>Control dye\Dye批号：</t>
    <phoneticPr fontId="1" type="noConversion"/>
  </si>
  <si>
    <t>第1组</t>
    <phoneticPr fontId="1" type="noConversion"/>
  </si>
  <si>
    <t>第2组</t>
    <phoneticPr fontId="1" type="noConversion"/>
  </si>
  <si>
    <t>第3组</t>
    <phoneticPr fontId="1" type="noConversion"/>
  </si>
  <si>
    <t>第4组</t>
    <phoneticPr fontId="1" type="noConversion"/>
  </si>
  <si>
    <t>第5组</t>
    <phoneticPr fontId="1" type="noConversion"/>
  </si>
  <si>
    <t>1.反应盘温度检测</t>
    <phoneticPr fontId="1" type="noConversion"/>
  </si>
  <si>
    <t>反应盘温度检测</t>
  </si>
  <si>
    <t>检测反应盘温度是否达到要求</t>
  </si>
  <si>
    <t>FLUKE温度表序列号</t>
  </si>
  <si>
    <t>测量次数</t>
  </si>
  <si>
    <t>1-5次</t>
  </si>
  <si>
    <t>6-10次</t>
  </si>
  <si>
    <t>11-15次</t>
  </si>
  <si>
    <t>16-20次</t>
  </si>
  <si>
    <t>（Tmax-Tmin）/2</t>
  </si>
  <si>
    <t>温度数据要求</t>
  </si>
  <si>
    <t>盘温度曲线截图：</t>
  </si>
  <si>
    <t>平均温度36.7℃~37.3℃范围内</t>
    <phoneticPr fontId="1" type="noConversion"/>
  </si>
  <si>
    <t>波动度在±0.1℃范围内</t>
    <phoneticPr fontId="1" type="noConversion"/>
  </si>
  <si>
    <t>温度值（℃）</t>
    <phoneticPr fontId="1" type="noConversion"/>
  </si>
  <si>
    <t>使用迈瑞公司的试剂和校准品，对如下表中的项目进行定标测试。然后，使用迈瑞常规生化复合定值质控品（水平1），对列表中的项目进行重复性检测。</t>
    <phoneticPr fontId="1" type="noConversion"/>
  </si>
  <si>
    <t>使用迈瑞常规生化复合定值质控品（水平1和水平2），对下表中的项目进行准确性检测。</t>
    <phoneticPr fontId="1" type="noConversion"/>
  </si>
  <si>
    <t>质控品批号（水平1）：</t>
  </si>
  <si>
    <t>测试项目</t>
  </si>
  <si>
    <t>是否在控</t>
  </si>
  <si>
    <t>实测值</t>
    <phoneticPr fontId="1" type="noConversion"/>
  </si>
  <si>
    <t>范围高限</t>
    <phoneticPr fontId="1" type="noConversion"/>
  </si>
  <si>
    <t>范围低限</t>
    <phoneticPr fontId="1" type="noConversion"/>
  </si>
  <si>
    <t>质控靶值</t>
    <phoneticPr fontId="1" type="noConversion"/>
  </si>
  <si>
    <t>单位</t>
    <phoneticPr fontId="1" type="noConversion"/>
  </si>
  <si>
    <t>质控品批号（水平2）：</t>
    <phoneticPr fontId="1" type="noConversion"/>
  </si>
  <si>
    <t>质控品批号（正常水平）：</t>
    <phoneticPr fontId="1" type="noConversion"/>
  </si>
  <si>
    <t>项目</t>
  </si>
  <si>
    <t>项目</t>
    <phoneticPr fontId="1" type="noConversion"/>
  </si>
  <si>
    <t>T</t>
    <phoneticPr fontId="1" type="noConversion"/>
  </si>
  <si>
    <t>K</t>
    <phoneticPr fontId="1" type="noConversion"/>
  </si>
  <si>
    <t>M1</t>
    <phoneticPr fontId="1" type="noConversion"/>
  </si>
  <si>
    <t>M2</t>
    <phoneticPr fontId="1" type="noConversion"/>
  </si>
  <si>
    <t>M3</t>
    <phoneticPr fontId="1" type="noConversion"/>
  </si>
  <si>
    <t>B1%</t>
    <phoneticPr fontId="1" type="noConversion"/>
  </si>
  <si>
    <t>B2%</t>
  </si>
  <si>
    <t>B3%</t>
  </si>
  <si>
    <t>判定要求</t>
    <phoneticPr fontId="1" type="noConversion"/>
  </si>
  <si>
    <t>偏差≤±3%</t>
    <phoneticPr fontId="1" type="noConversion"/>
  </si>
  <si>
    <t>2、电解质精密度</t>
    <phoneticPr fontId="1" type="noConversion"/>
  </si>
  <si>
    <t>Mean</t>
    <phoneticPr fontId="1" type="noConversion"/>
  </si>
  <si>
    <t>SD</t>
    <phoneticPr fontId="1" type="noConversion"/>
  </si>
  <si>
    <t>CV</t>
    <phoneticPr fontId="1" type="noConversion"/>
  </si>
  <si>
    <t>≤1.5%</t>
    <phoneticPr fontId="1" type="noConversion"/>
  </si>
  <si>
    <t>说明：仪器正常工作条件下先进行校正，然后将每一配置的定值质控测试液依序号分别连续测定3次，取均值当做实测值，各被分析元素均得到一组不同浓度的实测值
要求：线性区间范围内，偏差均≤3%，相关系数r≥0.995
操作：将每一配置的定值质控测试液依序号分别连续测定3次，取均值当做实测值，各被分析元素均得到一组不同浓度的实测值Y,通过标定值X进行线性拟合，再通过公式计算出偏差及相关系数</t>
    <phoneticPr fontId="1" type="noConversion"/>
  </si>
  <si>
    <t>X轴</t>
  </si>
  <si>
    <t>平均值（Y轴）</t>
    <phoneticPr fontId="1" type="noConversion"/>
  </si>
  <si>
    <t>b：</t>
    <phoneticPr fontId="1" type="noConversion"/>
  </si>
  <si>
    <t>a：</t>
    <phoneticPr fontId="1" type="noConversion"/>
  </si>
  <si>
    <t>R：</t>
    <phoneticPr fontId="1" type="noConversion"/>
  </si>
  <si>
    <t>R²：</t>
    <phoneticPr fontId="1" type="noConversion"/>
  </si>
  <si>
    <t>K线性范围验证</t>
    <phoneticPr fontId="1" type="noConversion"/>
  </si>
  <si>
    <t>说明：仪器正常工作条件下先进行校正，然后对配置的3号定值质控液分时间点进行测试
要求：分析元素波动百分比均≤2%
操作：对配置的3号定值质控液分时间点进行测试，每次测试连续测定3次，间隔时间为4小时，挑出最大值Xmax和最小值Xmin做差，再除以标定值T，计算其波动百分比。</t>
    <phoneticPr fontId="1" type="noConversion"/>
  </si>
  <si>
    <t>0h</t>
    <phoneticPr fontId="1" type="noConversion"/>
  </si>
  <si>
    <t>4h</t>
    <phoneticPr fontId="1" type="noConversion"/>
  </si>
  <si>
    <t>8h</t>
    <phoneticPr fontId="1" type="noConversion"/>
  </si>
  <si>
    <t>Xmax</t>
    <phoneticPr fontId="1" type="noConversion"/>
  </si>
  <si>
    <t>Xmin</t>
    <phoneticPr fontId="1" type="noConversion"/>
  </si>
  <si>
    <t>波动百分比</t>
    <phoneticPr fontId="1" type="noConversion"/>
  </si>
  <si>
    <t>≤2%</t>
    <phoneticPr fontId="1" type="noConversion"/>
  </si>
  <si>
    <t>说明：仪器正常工作条件下先进行校正，选用配置的1号定值质控液和配置的5号定值质控液分别交替进行测试
要求：从低浓度到高浓度和从高浓度到低浓度的携带污染率均≤1.5%
操作：仪器正常工作条件下先进行校正，选用1号和5号配置的定值质控液分别交替进行测试，先对配置的1号定值质控液进行测试4次，再对配置的5号定值质控液进行测试4次，然后再对配置的1号定值质控液进行测试4次，按公式计算从低浓度到高浓度以及从高浓度到低浓度的携带污染率。</t>
    <phoneticPr fontId="1" type="noConversion"/>
  </si>
  <si>
    <t>1#定值质控</t>
  </si>
  <si>
    <t>5#定值质控</t>
  </si>
  <si>
    <t>实测1</t>
  </si>
  <si>
    <t>实测2</t>
  </si>
  <si>
    <t>实测3</t>
  </si>
  <si>
    <t>实测4</t>
  </si>
  <si>
    <t>≤1.50%</t>
  </si>
  <si>
    <t>定值溶液</t>
    <phoneticPr fontId="1" type="noConversion"/>
  </si>
  <si>
    <t>波长（nm）</t>
  </si>
  <si>
    <r>
      <t>靶值</t>
    </r>
    <r>
      <rPr>
        <sz val="11"/>
        <color theme="1"/>
        <rFont val="宋体"/>
        <family val="3"/>
        <charset val="134"/>
      </rPr>
      <t>（单位）</t>
    </r>
  </si>
  <si>
    <r>
      <t>反应盘温度(</t>
    </r>
    <r>
      <rPr>
        <sz val="12"/>
        <color theme="1"/>
        <rFont val="宋体"/>
        <family val="3"/>
        <charset val="134"/>
      </rPr>
      <t>℃</t>
    </r>
    <r>
      <rPr>
        <sz val="10.5"/>
        <color theme="1"/>
        <rFont val="宋体"/>
        <family val="3"/>
        <charset val="134"/>
      </rPr>
      <t>)</t>
    </r>
  </si>
  <si>
    <r>
      <t>试剂仓1温度(</t>
    </r>
    <r>
      <rPr>
        <sz val="12"/>
        <color theme="1"/>
        <rFont val="宋体"/>
        <family val="3"/>
        <charset val="134"/>
      </rPr>
      <t>℃</t>
    </r>
    <r>
      <rPr>
        <sz val="10.5"/>
        <color theme="1"/>
        <rFont val="宋体"/>
        <family val="3"/>
        <charset val="134"/>
      </rPr>
      <t>)</t>
    </r>
  </si>
  <si>
    <r>
      <t>试剂仓2温度(</t>
    </r>
    <r>
      <rPr>
        <sz val="12"/>
        <color theme="1"/>
        <rFont val="宋体"/>
        <family val="3"/>
        <charset val="134"/>
      </rPr>
      <t>℃</t>
    </r>
    <r>
      <rPr>
        <sz val="10.5"/>
        <color theme="1"/>
        <rFont val="宋体"/>
        <family val="3"/>
        <charset val="134"/>
      </rPr>
      <t>)</t>
    </r>
  </si>
  <si>
    <r>
      <t>比色杯清洗水温度(</t>
    </r>
    <r>
      <rPr>
        <sz val="12"/>
        <color theme="1"/>
        <rFont val="宋体"/>
        <family val="3"/>
        <charset val="134"/>
      </rPr>
      <t>℃</t>
    </r>
    <r>
      <rPr>
        <sz val="10.5"/>
        <color theme="1"/>
        <rFont val="宋体"/>
        <family val="3"/>
        <charset val="134"/>
      </rPr>
      <t>)</t>
    </r>
  </si>
  <si>
    <t>单位</t>
    <phoneticPr fontId="1" type="noConversion"/>
  </si>
  <si>
    <t>S1样本针单元位置校准</t>
    <phoneticPr fontId="1" type="noConversion"/>
  </si>
  <si>
    <t>S2样本针单元位置校准</t>
    <phoneticPr fontId="1" type="noConversion"/>
  </si>
  <si>
    <t>S1样本针到常规通道吸样水平位置调试</t>
    <phoneticPr fontId="1" type="noConversion"/>
  </si>
  <si>
    <t>样本针到清洗垂直位置调试</t>
    <phoneticPr fontId="1" type="noConversion"/>
  </si>
  <si>
    <t>样本针到清洗水平位置调试</t>
    <phoneticPr fontId="1" type="noConversion"/>
  </si>
  <si>
    <t>≤0.01</t>
    <phoneticPr fontId="1" type="noConversion"/>
  </si>
  <si>
    <t>结果</t>
    <phoneticPr fontId="1" type="noConversion"/>
  </si>
  <si>
    <t>/</t>
    <phoneticPr fontId="1" type="noConversion"/>
  </si>
  <si>
    <t>判定标准CV≤</t>
    <phoneticPr fontId="1" type="noConversion"/>
  </si>
  <si>
    <t>Na</t>
    <phoneticPr fontId="1" type="noConversion"/>
  </si>
  <si>
    <t>Cl</t>
    <phoneticPr fontId="1" type="noConversion"/>
  </si>
  <si>
    <t>Na线性范围验证</t>
    <phoneticPr fontId="1" type="noConversion"/>
  </si>
  <si>
    <t>Cl线性范围验证</t>
    <phoneticPr fontId="1" type="noConversion"/>
  </si>
  <si>
    <t>样本针到样本稀释水平位置调试</t>
    <phoneticPr fontId="1" type="noConversion"/>
  </si>
  <si>
    <t>样本针到反应杯水平位置调试</t>
    <phoneticPr fontId="1" type="noConversion"/>
  </si>
  <si>
    <t>外圈暗电流测试</t>
    <phoneticPr fontId="1" type="noConversion"/>
  </si>
  <si>
    <t>判定要求</t>
    <phoneticPr fontId="1" type="noConversion"/>
  </si>
  <si>
    <t>≤1.50%</t>
    <phoneticPr fontId="1" type="noConversion"/>
  </si>
  <si>
    <t>5#定值质控</t>
    <phoneticPr fontId="1" type="noConversion"/>
  </si>
  <si>
    <t>最大吸光度不小于2</t>
    <phoneticPr fontId="1" type="noConversion"/>
  </si>
  <si>
    <t>相对偏差</t>
    <phoneticPr fontId="1" type="noConversion"/>
  </si>
  <si>
    <t>结论</t>
    <phoneticPr fontId="1" type="noConversion"/>
  </si>
  <si>
    <t>4.检查搅拌杆安装位置</t>
    <phoneticPr fontId="1" type="noConversion"/>
  </si>
  <si>
    <t>5.检查搅拌杆清洗池</t>
    <phoneticPr fontId="1" type="noConversion"/>
  </si>
  <si>
    <t>1.检查去离子进水连接</t>
    <phoneticPr fontId="1" type="noConversion"/>
  </si>
  <si>
    <t>6.检查样本/试剂注射器</t>
    <phoneticPr fontId="1" type="noConversion"/>
  </si>
  <si>
    <t>8.清洁清洗池</t>
    <phoneticPr fontId="1" type="noConversion"/>
  </si>
  <si>
    <t>12.光源灯使用时间查询</t>
    <phoneticPr fontId="1" type="noConversion"/>
  </si>
  <si>
    <t>15.运动部件位置确认</t>
    <phoneticPr fontId="1" type="noConversion"/>
  </si>
  <si>
    <t>16.周强化清洗及反应杯检测</t>
    <phoneticPr fontId="1" type="noConversion"/>
  </si>
  <si>
    <t>容器状态</t>
    <phoneticPr fontId="1" type="noConversion"/>
  </si>
  <si>
    <t>工作压力</t>
    <phoneticPr fontId="1" type="noConversion"/>
  </si>
  <si>
    <t>环境信息</t>
    <phoneticPr fontId="1" type="noConversion"/>
  </si>
  <si>
    <t>电源</t>
    <phoneticPr fontId="1" type="noConversion"/>
  </si>
  <si>
    <t>控制单元</t>
    <phoneticPr fontId="1" type="noConversion"/>
  </si>
  <si>
    <t>29~39</t>
    <phoneticPr fontId="1" type="noConversion"/>
  </si>
  <si>
    <t>15~37</t>
    <phoneticPr fontId="1" type="noConversion"/>
  </si>
  <si>
    <t>在660nm波长下，测定0.5A硫酸铜溶液1次</t>
    <phoneticPr fontId="1" type="noConversion"/>
  </si>
  <si>
    <t>CO2浓度</t>
    <phoneticPr fontId="1" type="noConversion"/>
  </si>
  <si>
    <t>≤2000ppm</t>
    <phoneticPr fontId="1" type="noConversion"/>
  </si>
  <si>
    <t>10.反应杯存液量确认</t>
    <phoneticPr fontId="1" type="noConversion"/>
  </si>
  <si>
    <t>2.检查废液连接</t>
    <phoneticPr fontId="1" type="noConversion"/>
  </si>
  <si>
    <t>3.检查CD80清洗液/针清洗剂余量</t>
    <phoneticPr fontId="1" type="noConversion"/>
  </si>
  <si>
    <t>当地大气压配置(KPa)</t>
    <phoneticPr fontId="1" type="noConversion"/>
  </si>
  <si>
    <t>ALT</t>
    <phoneticPr fontId="1" type="noConversion"/>
  </si>
  <si>
    <t>LDH</t>
    <phoneticPr fontId="1" type="noConversion"/>
  </si>
  <si>
    <t>TG</t>
    <phoneticPr fontId="1" type="noConversion"/>
  </si>
  <si>
    <t>UREA</t>
    <phoneticPr fontId="1" type="noConversion"/>
  </si>
  <si>
    <t>Ca</t>
    <phoneticPr fontId="1" type="noConversion"/>
  </si>
  <si>
    <t>反应系统外圈</t>
    <phoneticPr fontId="1" type="noConversion"/>
  </si>
  <si>
    <t>反应系统内圈</t>
    <phoneticPr fontId="1" type="noConversion"/>
  </si>
  <si>
    <t>U/L</t>
    <phoneticPr fontId="1" type="noConversion"/>
  </si>
  <si>
    <t>mmol/L</t>
    <phoneticPr fontId="1" type="noConversion"/>
  </si>
  <si>
    <t>g/L</t>
    <phoneticPr fontId="1" type="noConversion"/>
  </si>
  <si>
    <t>仪器基本状态检查</t>
    <phoneticPr fontId="1" type="noConversion"/>
  </si>
  <si>
    <t>相对偏倚在5%范围内</t>
    <phoneticPr fontId="1" type="noConversion"/>
  </si>
  <si>
    <t>加样准确度指标</t>
    <phoneticPr fontId="1" type="noConversion"/>
  </si>
  <si>
    <t>检测项目</t>
    <phoneticPr fontId="1" type="noConversion"/>
  </si>
  <si>
    <t>准确性计算</t>
    <phoneticPr fontId="1" type="noConversion"/>
  </si>
  <si>
    <t>采光周期</t>
    <phoneticPr fontId="1" type="noConversion"/>
  </si>
  <si>
    <t>mmol/L</t>
    <phoneticPr fontId="1" type="noConversion"/>
  </si>
  <si>
    <r>
      <t>1</t>
    </r>
    <r>
      <rPr>
        <sz val="7"/>
        <color theme="1"/>
        <rFont val="宋体"/>
        <family val="3"/>
        <charset val="134"/>
      </rPr>
      <t xml:space="preserve"> </t>
    </r>
    <r>
      <rPr>
        <sz val="10.5"/>
        <color theme="1"/>
        <rFont val="宋体"/>
        <family val="3"/>
        <charset val="134"/>
      </rPr>
      <t>各路暗电流均值大于-200，小于200</t>
    </r>
    <phoneticPr fontId="1" type="noConversion"/>
  </si>
  <si>
    <t>2.0~8.0</t>
    <phoneticPr fontId="1" type="noConversion"/>
  </si>
  <si>
    <t>无弯折，废液排放口高度（相对于仪器对应的废液出口）不大于100mm</t>
    <phoneticPr fontId="1" type="noConversion"/>
  </si>
  <si>
    <t>2 340nm和380nm波长SD值应不大于1.0，其它通道≤0.6</t>
    <phoneticPr fontId="1" type="noConversion"/>
  </si>
  <si>
    <r>
      <t>2</t>
    </r>
    <r>
      <rPr>
        <sz val="7"/>
        <color theme="1"/>
        <rFont val="宋体"/>
        <family val="3"/>
        <charset val="134"/>
      </rPr>
      <t xml:space="preserve"> </t>
    </r>
    <r>
      <rPr>
        <sz val="10.5"/>
        <color theme="1"/>
        <rFont val="宋体"/>
        <family val="3"/>
        <charset val="134"/>
      </rPr>
      <t>340nm和380nm波长SD值应不大于1.0，其它通道≤0.6</t>
    </r>
    <phoneticPr fontId="1" type="noConversion"/>
  </si>
  <si>
    <r>
      <t>整机清洗水温度(</t>
    </r>
    <r>
      <rPr>
        <sz val="12"/>
        <color theme="1"/>
        <rFont val="宋体"/>
        <family val="3"/>
        <charset val="134"/>
      </rPr>
      <t>℃</t>
    </r>
    <r>
      <rPr>
        <sz val="10.5"/>
        <color theme="1"/>
        <rFont val="宋体"/>
        <family val="3"/>
        <charset val="134"/>
      </rPr>
      <t>)</t>
    </r>
    <phoneticPr fontId="1" type="noConversion"/>
  </si>
  <si>
    <t>0.5A橙黄G溶液</t>
    <phoneticPr fontId="1" type="noConversion"/>
  </si>
  <si>
    <t>γ-GT</t>
    <phoneticPr fontId="1" type="noConversion"/>
  </si>
  <si>
    <t>测定值（mmol/L）</t>
    <phoneticPr fontId="1" type="noConversion"/>
  </si>
  <si>
    <t>波长（nm）</t>
    <phoneticPr fontId="1" type="noConversion"/>
  </si>
  <si>
    <t>测试数据</t>
    <phoneticPr fontId="1" type="noConversion"/>
  </si>
  <si>
    <t>内圈</t>
    <phoneticPr fontId="1" type="noConversion"/>
  </si>
  <si>
    <t>15~35</t>
    <phoneticPr fontId="1" type="noConversion"/>
  </si>
  <si>
    <t>≥1</t>
    <phoneticPr fontId="1" type="noConversion"/>
  </si>
  <si>
    <t>医院名称：</t>
  </si>
  <si>
    <t>使用科室：</t>
  </si>
  <si>
    <t>仪器制造商：</t>
  </si>
  <si>
    <t>仪器序列号：</t>
  </si>
  <si>
    <t>校准人员：</t>
  </si>
  <si>
    <t>校准日期：</t>
  </si>
  <si>
    <t>有效期至：</t>
  </si>
  <si>
    <t>/</t>
    <phoneticPr fontId="1" type="noConversion"/>
  </si>
  <si>
    <t>测试项</t>
    <phoneticPr fontId="1" type="noConversion"/>
  </si>
  <si>
    <t>杂散光</t>
    <phoneticPr fontId="1" type="noConversion"/>
  </si>
  <si>
    <t>吸光度准确性</t>
    <phoneticPr fontId="1" type="noConversion"/>
  </si>
  <si>
    <t>吸光度重复性</t>
    <phoneticPr fontId="1" type="noConversion"/>
  </si>
  <si>
    <t>吸光度稳定性</t>
    <phoneticPr fontId="1" type="noConversion"/>
  </si>
  <si>
    <t>吸光度线性</t>
    <phoneticPr fontId="1" type="noConversion"/>
  </si>
  <si>
    <t>样本携带污染率</t>
    <phoneticPr fontId="1" type="noConversion"/>
  </si>
  <si>
    <t>温度检测</t>
    <phoneticPr fontId="1" type="noConversion"/>
  </si>
  <si>
    <t>临床测试</t>
    <phoneticPr fontId="1" type="noConversion"/>
  </si>
  <si>
    <t>电解质精密度</t>
    <phoneticPr fontId="1" type="noConversion"/>
  </si>
  <si>
    <t>电解质线性</t>
    <phoneticPr fontId="1" type="noConversion"/>
  </si>
  <si>
    <t>电解质稳定性</t>
    <phoneticPr fontId="1" type="noConversion"/>
  </si>
  <si>
    <t>电解质准确度</t>
    <phoneticPr fontId="1" type="noConversion"/>
  </si>
  <si>
    <t>电解质携带污染率</t>
    <phoneticPr fontId="1" type="noConversion"/>
  </si>
  <si>
    <t>≥4.9A</t>
    <phoneticPr fontId="1" type="noConversion"/>
  </si>
  <si>
    <t>吸光度值  	吸光度准确度 
0.5  	  ±0.025
1.0	    ±0.07</t>
    <phoneticPr fontId="1" type="noConversion"/>
  </si>
  <si>
    <t>指标</t>
    <phoneticPr fontId="1" type="noConversion"/>
  </si>
  <si>
    <t>样品携带污染率不应大于0.05%</t>
    <phoneticPr fontId="1" type="noConversion"/>
  </si>
  <si>
    <t>吸光度变化不应大于0.01</t>
    <phoneticPr fontId="1" type="noConversion"/>
  </si>
  <si>
    <t>用变异系数(CV值)表示，不应大于1%</t>
    <phoneticPr fontId="1" type="noConversion"/>
  </si>
  <si>
    <t>相对偏倚在±5%范围内的最大吸光度应不小于3.5</t>
    <phoneticPr fontId="1" type="noConversion"/>
  </si>
  <si>
    <t>加样准确度和重复性（迈瑞色素加样）</t>
    <phoneticPr fontId="1" type="noConversion"/>
  </si>
  <si>
    <t>恒温室的温度准确度在37℃±0.3℃内，温度波动范围不大于±0.1℃</t>
    <phoneticPr fontId="1" type="noConversion"/>
  </si>
  <si>
    <t>是否在控</t>
    <phoneticPr fontId="1" type="noConversion"/>
  </si>
  <si>
    <t>迈瑞复合质控L1和L2水平，
ALT/ALTn，重复性≤5.0%，质控测量均值落入参考范围内（参考值±3SD)
γ-GT，重复性≤2.75%，质控测量均值落入参考范围内（参考值±3SD)
LDH，重复性≤2.75%，质控测量均值落入参考范围内（参考值±3SD)
TG，重复性≤3.5%，质控测量均值落入参考范围内（参考值±3SD)
UREA/UREAn，重复性≤2.5%，质控测量均值落入参考范围内（参考值±3SD)
TPII/TPn，重复性≤2.5%，质控测量均值落入参考范围内（参考值±3SD)
Ca，重复性≤1.25%，质控测量均值落入参考范围内（参考值±3SD)
PII，重复性≤2.5%，质控测量均值落入参考范围内（参考值±3SD)</t>
    <phoneticPr fontId="1" type="noConversion"/>
  </si>
  <si>
    <t>样本针：
1ul，重复性≤2%，准确性≤±5%
5ul，重复性≤2%，准确性≤±5%
25ul，重复性≤1%，准确性≤±%
试剂针：
R1试剂针:
70ul，重复性≤2%，准确性≤±10%
150ul，重复性≤1%，准确性≤±10%
R2试剂针：
10ul，重复性≤2%，准确性≤±10%
150ul，重复性≤1%，准确性≤±10%</t>
    <phoneticPr fontId="1" type="noConversion"/>
  </si>
  <si>
    <t>30~65</t>
    <phoneticPr fontId="1" type="noConversion"/>
  </si>
  <si>
    <t>稀释清洗剂压力(KPa)</t>
    <phoneticPr fontId="1" type="noConversion"/>
  </si>
  <si>
    <t>15~21</t>
    <phoneticPr fontId="1" type="noConversion"/>
  </si>
  <si>
    <t>整机脱气压力(KPa)</t>
    <phoneticPr fontId="1" type="noConversion"/>
  </si>
  <si>
    <t>8~45</t>
    <phoneticPr fontId="1" type="noConversion"/>
  </si>
  <si>
    <t>55-110</t>
    <phoneticPr fontId="1" type="noConversion"/>
  </si>
  <si>
    <t>主真空压力实测值(KPa)</t>
    <phoneticPr fontId="1" type="noConversion"/>
  </si>
  <si>
    <t>&lt;-15</t>
    <phoneticPr fontId="1" type="noConversion"/>
  </si>
  <si>
    <t>-27~-30</t>
    <phoneticPr fontId="1" type="noConversion"/>
  </si>
  <si>
    <r>
      <t>一、仪器校准说明
1、	基于仪器系统要求，结合对仪器硬件、软件及试剂系统的整体测试，按照相应的标准化操作规程完成检测系统性能测试和仪器校准，出具此校准报告。
2、	依据中华人民共和国医药行业标准《YY/T 0654-2017 全自动生化分析仪》和仪器制造商内部质量标准等要求设计仪器校准方案，制定</t>
    </r>
    <r>
      <rPr>
        <b/>
        <sz val="11"/>
        <color rgb="FFFF0000"/>
        <rFont val="宋体"/>
        <family val="3"/>
        <charset val="134"/>
      </rPr>
      <t>《迈瑞BS-5000系列仪器校准操作指南》</t>
    </r>
    <r>
      <rPr>
        <b/>
        <sz val="11"/>
        <color theme="1"/>
        <rFont val="宋体"/>
        <family val="3"/>
        <charset val="134"/>
      </rPr>
      <t>，必要时依据最新标准要求进行更新。
3、	本校准报告的检测程序严格按照</t>
    </r>
    <r>
      <rPr>
        <b/>
        <sz val="11"/>
        <color rgb="FFFF0000"/>
        <rFont val="宋体"/>
        <family val="3"/>
        <charset val="134"/>
      </rPr>
      <t>《迈瑞BS-5000系列仪器校准操作指南》</t>
    </r>
    <r>
      <rPr>
        <b/>
        <sz val="11"/>
        <color theme="1"/>
        <rFont val="宋体"/>
        <family val="3"/>
        <charset val="134"/>
      </rPr>
      <t>执行。
4、	本校准报告中的所有校准程序由迈瑞公司授权的专业技术人员实施并提供书面报告。
5、	迈瑞公司对本校准报告拥有最终解释权。</t>
    </r>
    <phoneticPr fontId="1" type="noConversion"/>
  </si>
  <si>
    <t>注：以上检测依据为BS-5000系列产品维修手册</t>
    <phoneticPr fontId="1" type="noConversion"/>
  </si>
  <si>
    <t>注：以上维护项目依据为迈瑞BS-5000系列主动维护手册。</t>
    <phoneticPr fontId="1" type="noConversion"/>
  </si>
  <si>
    <t>注：以上检查内容依据为迈瑞BS-5000系列主动维护手册</t>
    <phoneticPr fontId="1" type="noConversion"/>
  </si>
  <si>
    <t>TP</t>
    <phoneticPr fontId="1" type="noConversion"/>
  </si>
  <si>
    <t>P</t>
    <phoneticPr fontId="1" type="noConversion"/>
  </si>
  <si>
    <r>
      <t>BS-5000</t>
    </r>
    <r>
      <rPr>
        <b/>
        <sz val="24"/>
        <color theme="1"/>
        <rFont val="宋体"/>
        <family val="3"/>
        <charset val="134"/>
      </rPr>
      <t>系列全自动
生化分析仪校准报告</t>
    </r>
    <phoneticPr fontId="1" type="noConversion"/>
  </si>
  <si>
    <t>数据导出时间：</t>
    <phoneticPr fontId="1" type="noConversion"/>
  </si>
  <si>
    <t>1.0µL</t>
    <phoneticPr fontId="1" type="noConversion"/>
  </si>
  <si>
    <t>5.0µL</t>
    <phoneticPr fontId="1" type="noConversion"/>
  </si>
  <si>
    <t>25.0µL</t>
    <phoneticPr fontId="1" type="noConversion"/>
  </si>
  <si>
    <t>7.检查更新强化清洗剂</t>
    <phoneticPr fontId="1" type="noConversion"/>
  </si>
  <si>
    <t>P</t>
    <phoneticPr fontId="1" type="noConversion"/>
  </si>
  <si>
    <t>11.检查维护自动清洗机构</t>
    <phoneticPr fontId="1" type="noConversion"/>
  </si>
  <si>
    <r>
      <t>比色杯清洗剂温度(</t>
    </r>
    <r>
      <rPr>
        <sz val="12"/>
        <color theme="1"/>
        <rFont val="宋体"/>
        <family val="3"/>
        <charset val="134"/>
      </rPr>
      <t>℃)</t>
    </r>
    <phoneticPr fontId="1" type="noConversion"/>
  </si>
  <si>
    <r>
      <t>整机内部环境温度(</t>
    </r>
    <r>
      <rPr>
        <sz val="12"/>
        <color theme="1"/>
        <rFont val="宋体"/>
        <family val="3"/>
        <charset val="134"/>
      </rPr>
      <t>℃)</t>
    </r>
    <phoneticPr fontId="1" type="noConversion"/>
  </si>
  <si>
    <t>9.搅拌杆外壁清洗流量确认</t>
    <phoneticPr fontId="1" type="noConversion"/>
  </si>
  <si>
    <t>ISE样本针单元位置校准（如选配）</t>
    <phoneticPr fontId="1" type="noConversion"/>
  </si>
  <si>
    <t>ISE样本针到模块1水平位置调试</t>
    <phoneticPr fontId="1" type="noConversion"/>
  </si>
  <si>
    <t>ISE样本针到清洗水平位置调试</t>
    <phoneticPr fontId="1" type="noConversion"/>
  </si>
  <si>
    <t>ISE样本针到清洗垂直位置调试</t>
    <phoneticPr fontId="1" type="noConversion"/>
  </si>
  <si>
    <t>注：以上检查内容依据为迈瑞BS-5000系列仪器调试指南。</t>
    <phoneticPr fontId="1" type="noConversion"/>
  </si>
  <si>
    <t>ISE样本针到模块2水平位置调试（如选配）</t>
    <phoneticPr fontId="1" type="noConversion"/>
  </si>
  <si>
    <t>S1样本针到急诊通道吸样水平位置调试</t>
    <phoneticPr fontId="1" type="noConversion"/>
  </si>
  <si>
    <t>样本针到常规通道吸样水平位置调试</t>
    <phoneticPr fontId="1" type="noConversion"/>
  </si>
  <si>
    <t>样本针到急诊通道吸样水平位置调试</t>
    <phoneticPr fontId="1" type="noConversion"/>
  </si>
  <si>
    <t>ISE样本针到吸样轨道1水平位置调试</t>
    <phoneticPr fontId="1" type="noConversion"/>
  </si>
  <si>
    <t>ISE样本针到吸样轨道2水平位置调试</t>
    <phoneticPr fontId="1" type="noConversion"/>
  </si>
  <si>
    <t>注：以上检查内容依据为迈瑞BS-5000系列仪器校准操作指南</t>
    <phoneticPr fontId="1" type="noConversion"/>
  </si>
  <si>
    <t>仪器维护保养</t>
    <phoneticPr fontId="1" type="noConversion"/>
  </si>
  <si>
    <t>&gt;2.3</t>
    <phoneticPr fontId="1" type="noConversion"/>
  </si>
  <si>
    <t>参考中华人民共和国医药行业标准YY/T0654-2017，吸光度的稳定性（最大最小值之差）应不大于0.01。在340nm波长下，测定0.5A橙黄G溶液1次</t>
    <phoneticPr fontId="1" type="noConversion"/>
  </si>
  <si>
    <t>参考中华人民共和国医药行业标准YY/T0654-2017，要求相对偏倚在±5%范围内的最大吸光度应不小于2
1、橙黄G(4.2A)11个梯度浓度的反应盘内圈吸光度线性值（450nm）</t>
    <phoneticPr fontId="1" type="noConversion"/>
  </si>
  <si>
    <t>试剂针10ul加样重复性测试结果：</t>
    <phoneticPr fontId="1" type="noConversion"/>
  </si>
  <si>
    <t>试剂针150ul加样重复性测试结果：</t>
    <phoneticPr fontId="1" type="noConversion"/>
  </si>
  <si>
    <t>±5%</t>
    <phoneticPr fontId="1" type="noConversion"/>
  </si>
  <si>
    <t>质控品批号（正常水平）</t>
    <phoneticPr fontId="1" type="noConversion"/>
  </si>
  <si>
    <t>1、电解质准确度
说明：对以血清为基质的定值质控物质连续测定3次，计算其相对偏差或绝对偏差，结果符合要求
要求：NA、K、CL准确度偏差均≤±3%
操作：仪器正常工作条件下先进行校正，使用迈瑞常规生化复合定值质控品水平1连续测定3次，按公式：Br=(M-T)/T×100%计算相对偏差；或按公式：Ba=M-T计算绝对偏差，取3次结果进行判断，是否满足要求</t>
    <phoneticPr fontId="1" type="noConversion"/>
  </si>
  <si>
    <t>3、电解质线性检测</t>
    <phoneticPr fontId="1" type="noConversion"/>
  </si>
  <si>
    <t>4、电解质稳定性</t>
    <phoneticPr fontId="1" type="noConversion"/>
  </si>
  <si>
    <t>5、电解质携带污染率</t>
    <phoneticPr fontId="1" type="noConversion"/>
  </si>
  <si>
    <r>
      <t>携带污染率C</t>
    </r>
    <r>
      <rPr>
        <b/>
        <vertAlign val="subscript"/>
        <sz val="7"/>
        <color rgb="FF000000"/>
        <rFont val="宋体"/>
        <family val="3"/>
        <charset val="134"/>
      </rPr>
      <t>LH</t>
    </r>
    <phoneticPr fontId="1" type="noConversion"/>
  </si>
  <si>
    <r>
      <t>携带污染率C</t>
    </r>
    <r>
      <rPr>
        <b/>
        <vertAlign val="subscript"/>
        <sz val="7"/>
        <color rgb="FF000000"/>
        <rFont val="宋体"/>
        <family val="3"/>
        <charset val="134"/>
      </rPr>
      <t>HL</t>
    </r>
  </si>
  <si>
    <t>a)模块一</t>
    <phoneticPr fontId="1" type="noConversion"/>
  </si>
  <si>
    <t>b)模块二</t>
    <phoneticPr fontId="1" type="noConversion"/>
  </si>
  <si>
    <t>真空及压力检测</t>
    <phoneticPr fontId="1" type="noConversion"/>
  </si>
  <si>
    <t>主机位置校准</t>
    <phoneticPr fontId="1" type="noConversion"/>
  </si>
  <si>
    <t>样本针S1加样重复性测试结果：</t>
    <phoneticPr fontId="1" type="noConversion"/>
  </si>
  <si>
    <t>1、电解质准确度</t>
    <phoneticPr fontId="1" type="noConversion"/>
  </si>
  <si>
    <r>
      <t>说明：使用迈瑞电解质血清定标液，对离子检测项目进行定标。然后使用配置的3号定值质控液进行重复性检测。
要求：</t>
    </r>
    <r>
      <rPr>
        <sz val="11"/>
        <rFont val="宋体"/>
        <family val="3"/>
        <charset val="134"/>
      </rPr>
      <t>Na、K、Cl≤1.5%</t>
    </r>
    <r>
      <rPr>
        <sz val="11"/>
        <color theme="1"/>
        <rFont val="宋体"/>
        <family val="3"/>
        <charset val="134"/>
      </rPr>
      <t xml:space="preserve">
操作：仪器正常工作条件下先进行校正，然后对配置的3号定值质控测试连续测定10次，计算其定值的均值、标准差及变异系数，结果复合要求。</t>
    </r>
    <phoneticPr fontId="1" type="noConversion"/>
  </si>
  <si>
    <t>13.电解质管路清洗（如选配）</t>
    <phoneticPr fontId="1" type="noConversion"/>
  </si>
  <si>
    <t>14.清洗电解质电极（如选配）</t>
    <phoneticPr fontId="1" type="noConversion"/>
  </si>
  <si>
    <t>（三）杂散光检测</t>
    <phoneticPr fontId="1" type="noConversion"/>
  </si>
  <si>
    <t>（四）吸光度准确性检测</t>
    <phoneticPr fontId="1" type="noConversion"/>
  </si>
  <si>
    <t>（五）吸光度重复性检测</t>
    <phoneticPr fontId="1" type="noConversion"/>
  </si>
  <si>
    <t>（六）吸光度稳定性检测</t>
    <phoneticPr fontId="1" type="noConversion"/>
  </si>
  <si>
    <t>（七）吸光度线性范围检测</t>
    <phoneticPr fontId="1" type="noConversion"/>
  </si>
  <si>
    <t>本测试方案采用加样色素法对加样的准确度与重复性进行测试。
按照加样测试操作后，在光度计上测试的溶液吸光度在0.5~1.0A之间，而光度计在1.0A和0.5A的吸光度准确性已经测试过，所以此方案测试中光度计带来的偏差可以从吸光度准确性测试中参考。
要求：
a)	加样准确度误差不超过±5%；
b)	变异系数不超过±2%。</t>
    <phoneticPr fontId="1" type="noConversion"/>
  </si>
  <si>
    <t>（九）样本携带污染率检测</t>
    <phoneticPr fontId="1" type="noConversion"/>
  </si>
  <si>
    <t>（十）温度检测</t>
    <phoneticPr fontId="1" type="noConversion"/>
  </si>
  <si>
    <t>（十一）临床测试精密度及准确性</t>
    <phoneticPr fontId="1" type="noConversion"/>
  </si>
  <si>
    <t>（十二）电解质项目的精密度（选配ISE须执行）</t>
    <phoneticPr fontId="1" type="noConversion"/>
  </si>
  <si>
    <t>（八）加样准确度与重复性检测</t>
    <phoneticPr fontId="1" type="noConversion"/>
  </si>
  <si>
    <t>注：以上检查内容依据为依据中华人民共和国医药行业标准《YY/T 0654-2017 全自动生化分析仪》和《迈瑞BS-5000系列仪器校准操作指南》。</t>
    <phoneticPr fontId="1" type="noConversion"/>
  </si>
  <si>
    <t>整机清洗水压力(KPa)</t>
    <phoneticPr fontId="1" type="noConversion"/>
  </si>
  <si>
    <t>（二）暗电流检测</t>
    <phoneticPr fontId="1" type="noConversion"/>
  </si>
  <si>
    <r>
      <t>γ</t>
    </r>
    <r>
      <rPr>
        <b/>
        <sz val="9"/>
        <color rgb="FF000000"/>
        <rFont val="Calibri"/>
        <family val="3"/>
      </rPr>
      <t>-GT</t>
    </r>
    <phoneticPr fontId="1" type="noConversion"/>
  </si>
  <si>
    <t>ISE脱气压力-A(KPa)</t>
    <phoneticPr fontId="1" type="noConversion"/>
  </si>
  <si>
    <t>ISE脱气压力-B(KPa)</t>
    <phoneticPr fontId="1" type="noConversion"/>
  </si>
  <si>
    <t>吸光度值（手动填写0.5、1A溶液基准值）</t>
    <phoneticPr fontId="1" type="noConversion"/>
  </si>
  <si>
    <t>参考色素最大值</t>
    <phoneticPr fontId="1" type="noConversion"/>
  </si>
  <si>
    <t>携带污染率最大值</t>
    <phoneticPr fontId="1" type="noConversion"/>
  </si>
  <si>
    <t>携带污染率最大值不大于0.1%</t>
    <phoneticPr fontId="1" type="noConversion"/>
  </si>
  <si>
    <t>BS-5000\BS-5200\BS-5400 校准报告</t>
  </si>
  <si>
    <t>2026-07-01</t>
  </si>
  <si>
    <t>XT4-65000001</t>
  </si>
  <si>
    <t>2027-06-30</t>
  </si>
  <si>
    <t>不通过</t>
  </si>
  <si>
    <t>-2450</t>
  </si>
  <si>
    <t>-3517</t>
  </si>
  <si>
    <t>364</t>
  </si>
  <si>
    <t>97</t>
  </si>
  <si>
    <t>6229</t>
  </si>
  <si>
    <t>6920</t>
  </si>
  <si>
    <t>3398</t>
  </si>
  <si>
    <t>5966</t>
  </si>
  <si>
    <t>-354</t>
  </si>
  <si>
    <t>93</t>
  </si>
  <si>
    <t>-5297</t>
  </si>
  <si>
    <t>-6159</t>
  </si>
  <si>
    <t>4558</t>
  </si>
  <si>
    <t>2690</t>
  </si>
  <si>
    <t>1142</t>
  </si>
  <si>
    <t>121</t>
  </si>
  <si>
    <t>-840</t>
  </si>
  <si>
    <t>-1618</t>
  </si>
  <si>
    <t>0.007141</t>
  </si>
  <si>
    <t>0.001740</t>
  </si>
  <si>
    <t>0.000161</t>
  </si>
  <si>
    <t>-0.000320</t>
  </si>
  <si>
    <t>0.001680</t>
  </si>
  <si>
    <t>0.002121</t>
  </si>
  <si>
    <t>-0.000980</t>
  </si>
  <si>
    <t>-0.000172</t>
  </si>
  <si>
    <t>0.000301</t>
  </si>
  <si>
    <t>0.000428</t>
  </si>
  <si>
    <t>0.001661%</t>
  </si>
  <si>
    <t>0.000759%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</si>
</sst>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_);[Red]\(0.00\)"/>
  </numFmts>
  <fonts count="53">
    <font>
      <sz val="11"/>
      <color theme="1"/>
      <name val="等线"/>
      <family val="2"/>
      <scheme val="minor"/>
    </font>
    <font>
      <sz val="9"/>
      <name val="等线"/>
      <family val="3"/>
      <charset val="134"/>
      <scheme val="minor"/>
    </font>
    <font>
      <sz val="10"/>
      <color theme="1"/>
      <name val="宋体"/>
      <family val="3"/>
      <charset val="134"/>
    </font>
    <font>
      <b/>
      <sz val="10.5"/>
      <color rgb="FFFFFFFF"/>
      <name val="宋体"/>
      <family val="3"/>
      <charset val="134"/>
    </font>
    <font>
      <b/>
      <sz val="10.5"/>
      <color theme="1"/>
      <name val="宋体"/>
      <family val="3"/>
      <charset val="134"/>
    </font>
    <font>
      <sz val="10.5"/>
      <color theme="1"/>
      <name val="宋体"/>
      <family val="3"/>
      <charset val="134"/>
    </font>
    <font>
      <b/>
      <sz val="11"/>
      <name val="等线"/>
      <family val="2"/>
      <scheme val="minor"/>
    </font>
    <font>
      <sz val="10.5"/>
      <color rgb="FFFFFFFF"/>
      <name val="宋体"/>
      <family val="3"/>
      <charset val="134"/>
    </font>
    <font>
      <b/>
      <sz val="12"/>
      <color theme="1"/>
      <name val="宋体"/>
      <family val="3"/>
      <charset val="134"/>
    </font>
    <font>
      <sz val="12"/>
      <color theme="1"/>
      <name val="宋体"/>
      <family val="3"/>
      <charset val="134"/>
    </font>
    <font>
      <b/>
      <sz val="10.5"/>
      <color rgb="FF000000"/>
      <name val="宋体"/>
      <family val="3"/>
      <charset val="134"/>
    </font>
    <font>
      <b/>
      <sz val="12"/>
      <color rgb="FFFFFFFF"/>
      <name val="宋体"/>
      <family val="3"/>
      <charset val="134"/>
    </font>
    <font>
      <b/>
      <sz val="12"/>
      <color rgb="FF000000"/>
      <name val="宋体"/>
      <family val="3"/>
      <charset val="134"/>
    </font>
    <font>
      <sz val="11"/>
      <color rgb="FF000000"/>
      <name val="宋体"/>
      <family val="3"/>
      <charset val="134"/>
    </font>
    <font>
      <sz val="10.5"/>
      <color rgb="FF000000"/>
      <name val="宋体"/>
      <family val="3"/>
      <charset val="134"/>
    </font>
    <font>
      <sz val="11"/>
      <color theme="1"/>
      <name val="宋体"/>
      <family val="3"/>
      <charset val="134"/>
    </font>
    <font>
      <sz val="10"/>
      <color rgb="FFFFFFFF"/>
      <name val="宋体"/>
      <family val="3"/>
      <charset val="134"/>
    </font>
    <font>
      <sz val="10"/>
      <color rgb="FF000000"/>
      <name val="宋体"/>
      <family val="3"/>
      <charset val="134"/>
    </font>
    <font>
      <sz val="11"/>
      <color theme="1"/>
      <name val="微软雅黑"/>
      <family val="2"/>
      <charset val="134"/>
    </font>
    <font>
      <sz val="7"/>
      <color theme="1"/>
      <name val="宋体"/>
      <family val="3"/>
      <charset val="134"/>
    </font>
    <font>
      <sz val="12"/>
      <color rgb="FF000000"/>
      <name val="宋体"/>
      <family val="3"/>
      <charset val="134"/>
    </font>
    <font>
      <b/>
      <sz val="10"/>
      <color rgb="FF000000"/>
      <name val="宋体"/>
      <family val="3"/>
      <charset val="134"/>
    </font>
    <font>
      <b/>
      <sz val="10"/>
      <color rgb="FFFFFFFF"/>
      <name val="宋体"/>
      <family val="3"/>
      <charset val="134"/>
    </font>
    <font>
      <sz val="10.5"/>
      <name val="宋体"/>
      <family val="3"/>
      <charset val="134"/>
    </font>
    <font>
      <sz val="11"/>
      <name val="宋体"/>
      <family val="3"/>
      <charset val="134"/>
    </font>
    <font>
      <b/>
      <sz val="11"/>
      <color theme="1"/>
      <name val="宋体"/>
      <family val="3"/>
      <charset val="134"/>
    </font>
    <font>
      <b/>
      <sz val="11"/>
      <color theme="1"/>
      <name val="等线"/>
      <family val="2"/>
      <scheme val="minor"/>
    </font>
    <font>
      <b/>
      <sz val="24"/>
      <color theme="1"/>
      <name val="宋体"/>
      <family val="3"/>
      <charset val="134"/>
    </font>
    <font>
      <sz val="11"/>
      <color theme="1"/>
      <name val="等线"/>
      <family val="2"/>
      <scheme val="minor"/>
    </font>
    <font>
      <sz val="9"/>
      <color theme="1"/>
      <name val="宋体"/>
      <family val="3"/>
      <charset val="134"/>
    </font>
    <font>
      <sz val="9"/>
      <color rgb="FF000000"/>
      <name val="宋体"/>
      <family val="3"/>
      <charset val="134"/>
    </font>
    <font>
      <sz val="10.5"/>
      <color theme="1"/>
      <name val="Times New Roman"/>
      <family val="1"/>
    </font>
    <font>
      <sz val="10.5"/>
      <name val="Times New Roman"/>
      <family val="1"/>
    </font>
    <font>
      <b/>
      <sz val="24"/>
      <color theme="1"/>
      <name val="Times New Roman"/>
      <family val="1"/>
    </font>
    <font>
      <sz val="10.5"/>
      <color rgb="FFFF0000"/>
      <name val="宋体"/>
      <family val="3"/>
      <charset val="134"/>
    </font>
    <font>
      <sz val="8"/>
      <color theme="1"/>
      <name val="宋体"/>
      <family val="3"/>
      <charset val="134"/>
    </font>
    <font>
      <b/>
      <sz val="11"/>
      <color rgb="FFFF0000"/>
      <name val="宋体"/>
      <family val="3"/>
      <charset val="134"/>
    </font>
    <font>
      <b/>
      <sz val="10.5"/>
      <color rgb="FFFF0000"/>
      <name val="宋体"/>
      <family val="3"/>
      <charset val="134"/>
    </font>
    <font>
      <sz val="8"/>
      <color rgb="FFFFFFFF"/>
      <name val="宋体"/>
      <family val="3"/>
      <charset val="134"/>
    </font>
    <font>
      <b/>
      <sz val="9"/>
      <color theme="1"/>
      <name val="宋体"/>
      <family val="3"/>
      <charset val="134"/>
    </font>
    <font>
      <b/>
      <sz val="10.5"/>
      <name val="宋体"/>
      <family val="3"/>
      <charset val="134"/>
    </font>
    <font>
      <sz val="8"/>
      <color rgb="FF000000"/>
      <name val="宋体"/>
      <family val="3"/>
      <charset val="134"/>
    </font>
    <font>
      <b/>
      <sz val="8"/>
      <color rgb="FF000000"/>
      <name val="宋体"/>
      <family val="3"/>
      <charset val="134"/>
    </font>
    <font>
      <b/>
      <sz val="8"/>
      <color rgb="FF000000"/>
      <name val="Calibri"/>
      <family val="3"/>
      <charset val="161"/>
    </font>
    <font>
      <b/>
      <sz val="11"/>
      <name val="宋体"/>
      <family val="3"/>
      <charset val="134"/>
    </font>
    <font>
      <b/>
      <sz val="11"/>
      <color theme="0"/>
      <name val="宋体"/>
      <family val="3"/>
      <charset val="134"/>
    </font>
    <font>
      <sz val="11"/>
      <name val="等线"/>
      <family val="3"/>
      <charset val="134"/>
      <scheme val="minor"/>
    </font>
    <font>
      <b/>
      <sz val="7"/>
      <color rgb="FF000000"/>
      <name val="宋体"/>
      <family val="3"/>
      <charset val="134"/>
    </font>
    <font>
      <b/>
      <vertAlign val="subscript"/>
      <sz val="7"/>
      <color rgb="FF000000"/>
      <name val="宋体"/>
      <family val="3"/>
      <charset val="134"/>
    </font>
    <font>
      <b/>
      <sz val="9"/>
      <color rgb="FF000000"/>
      <name val="宋体"/>
      <family val="3"/>
      <charset val="134"/>
    </font>
    <font>
      <b/>
      <sz val="9"/>
      <color rgb="FF000000"/>
      <name val="Calibri"/>
      <family val="3"/>
      <charset val="161"/>
    </font>
    <font>
      <b/>
      <sz val="9"/>
      <color rgb="FF000000"/>
      <name val="Calibri"/>
      <family val="3"/>
    </font>
    <font>
      <sz val="11"/>
      <name val="宋体"/>
      <charset val="134"/>
    </font>
  </fonts>
  <fills count="14">
    <fill>
      <patternFill patternType="none"/>
    </fill>
    <fill>
      <patternFill patternType="gray125"/>
    </fill>
    <fill>
      <patternFill patternType="solid">
        <fgColor rgb="FFC0504D"/>
        <bgColor indexed="64"/>
      </patternFill>
    </fill>
    <fill>
      <patternFill patternType="solid">
        <fgColor rgb="FFF2DBDB"/>
        <bgColor indexed="64"/>
      </patternFill>
    </fill>
    <fill>
      <patternFill patternType="solid">
        <fgColor rgb="FFFFFFFF"/>
        <bgColor indexed="64"/>
      </patternFill>
    </fill>
    <fill>
      <patternFill patternType="solid">
        <fgColor rgb="FF92D050"/>
        <bgColor indexed="64"/>
      </patternFill>
    </fill>
    <fill>
      <patternFill patternType="solid">
        <fgColor rgb="FF9BBB59"/>
        <bgColor indexed="64"/>
      </patternFill>
    </fill>
    <fill>
      <patternFill patternType="solid">
        <fgColor rgb="FFBFBFBF"/>
        <bgColor indexed="64"/>
      </patternFill>
    </fill>
    <fill>
      <patternFill patternType="solid">
        <fgColor rgb="FF56A22C"/>
        <bgColor indexed="64"/>
      </patternFill>
    </fill>
    <fill>
      <patternFill patternType="solid">
        <fgColor rgb="FFC00000"/>
        <bgColor indexed="64"/>
      </patternFill>
    </fill>
    <fill>
      <patternFill patternType="solid">
        <fgColor rgb="FFE5B8B7"/>
        <bgColor indexed="64"/>
      </patternFill>
    </fill>
    <fill>
      <patternFill patternType="solid">
        <fgColor theme="0" tint="-0.14996795556505021"/>
        <bgColor indexed="64"/>
      </patternFill>
    </fill>
    <fill>
      <patternFill patternType="solid">
        <fgColor rgb="FFFFFF00"/>
        <bgColor indexed="64"/>
      </patternFill>
    </fill>
    <fill>
      <patternFill patternType="solid">
        <fgColor theme="0" tint="-0.249977111117893"/>
        <bgColor indexed="64"/>
      </patternFill>
    </fill>
  </fills>
  <borders count="28">
    <border>
      <left/>
      <right/>
      <top/>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top style="medium">
        <color indexed="64"/>
      </top>
      <bottom style="medium">
        <color indexed="64"/>
      </bottom>
      <diagonal/>
    </border>
    <border>
      <left/>
      <right style="thin">
        <color auto="1"/>
      </right>
      <top/>
      <bottom/>
      <diagonal/>
    </border>
    <border>
      <left style="thin">
        <color auto="1"/>
      </left>
      <right/>
      <top style="medium">
        <color indexed="64"/>
      </top>
      <bottom style="medium">
        <color indexed="64"/>
      </bottom>
      <diagonal/>
    </border>
    <border>
      <left style="thin">
        <color auto="1"/>
      </left>
      <right style="thin">
        <color auto="1"/>
      </right>
      <top/>
      <bottom/>
      <diagonal/>
    </border>
    <border>
      <left style="thin">
        <color auto="1"/>
      </left>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applyAlignment="0"/>
    <xf numFmtId="9" fontId="28" fillId="0" borderId="0" applyAlignment="0">
      <alignment vertical="center"/>
    </xf>
  </cellStyleXfs>
  <cellXfs count="978">
    <xf numFmtId="0" fontId="0" fillId="0" borderId="0" xfId="0"/>
    <xf numFmtId="0" fontId="0" fillId="0" borderId="0" xfId="0"/>
    <xf numFmtId="0" fontId="6" fillId="0" borderId="0" xfId="0" applyFont="1"/>
    <xf numFmtId="0" fontId="0" fillId="0" borderId="0" xfId="0" applyAlignment="1">
      <alignment wrapText="1"/>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2" fillId="7"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0" borderId="2" xfId="0" applyFont="1" applyBorder="1" applyAlignment="1">
      <alignment vertical="center"/>
    </xf>
    <xf numFmtId="0" fontId="15" fillId="0" borderId="0" xfId="0" applyFont="1" applyAlignment="1">
      <alignment wrapText="1"/>
    </xf>
    <xf numFmtId="0" fontId="13" fillId="0" borderId="2" xfId="0" applyFont="1" applyFill="1" applyBorder="1" applyAlignment="1">
      <alignment horizontal="center" vertical="center"/>
    </xf>
    <xf numFmtId="0" fontId="14" fillId="0" borderId="2" xfId="0" applyFont="1" applyFill="1" applyBorder="1" applyAlignment="1">
      <alignment horizontal="center" vertical="center"/>
    </xf>
    <xf numFmtId="0" fontId="26" fillId="0" borderId="0" xfId="0" applyFont="1"/>
    <xf numFmtId="0" fontId="5" fillId="0" borderId="2" xfId="0" quotePrefix="1" applyFont="1" applyBorder="1" applyAlignment="1">
      <alignment vertical="center"/>
    </xf>
    <xf numFmtId="0" fontId="0" fillId="0" borderId="2" xfId="0" applyBorder="1" applyAlignment="1">
      <alignment horizontal="center"/>
    </xf>
    <xf numFmtId="0" fontId="15" fillId="0" borderId="2" xfId="0" applyFont="1" applyBorder="1" applyAlignment="1"/>
    <xf numFmtId="0" fontId="5" fillId="0" borderId="0" xfId="0" applyFont="1" applyFill="1" applyBorder="1" applyAlignment="1">
      <alignment vertical="center"/>
    </xf>
    <xf numFmtId="0" fontId="0" fillId="0" borderId="0" xfId="0" applyFill="1" applyBorder="1"/>
    <xf numFmtId="0" fontId="4" fillId="0" borderId="2" xfId="0" applyFont="1" applyBorder="1" applyAlignment="1">
      <alignment horizontal="center" vertical="center"/>
    </xf>
    <xf numFmtId="0" fontId="14" fillId="10" borderId="2" xfId="0" applyFont="1" applyFill="1" applyBorder="1" applyAlignment="1">
      <alignment horizontal="center" vertical="center"/>
    </xf>
    <xf numFmtId="0" fontId="29" fillId="0" borderId="2" xfId="0" applyFont="1" applyBorder="1" applyAlignment="1">
      <alignment horizontal="center" vertical="center"/>
    </xf>
    <xf numFmtId="0" fontId="13" fillId="7" borderId="19" xfId="0" applyFont="1" applyFill="1" applyBorder="1" applyAlignment="1">
      <alignment vertical="center"/>
    </xf>
    <xf numFmtId="0" fontId="13" fillId="7" borderId="12" xfId="0" applyFont="1" applyFill="1" applyBorder="1" applyAlignment="1">
      <alignment vertical="center"/>
    </xf>
    <xf numFmtId="10" fontId="30" fillId="0" borderId="2" xfId="0" applyNumberFormat="1" applyFont="1" applyFill="1" applyBorder="1" applyAlignment="1">
      <alignment horizontal="center" vertical="center"/>
    </xf>
    <xf numFmtId="0" fontId="0" fillId="0" borderId="2" xfId="0" applyBorder="1" applyAlignment="1">
      <alignment horizontal="center"/>
    </xf>
    <xf numFmtId="0" fontId="0" fillId="0" borderId="15" xfId="0" applyBorder="1"/>
    <xf numFmtId="0" fontId="0" fillId="0" borderId="7" xfId="0" applyBorder="1"/>
    <xf numFmtId="0" fontId="0" fillId="0" borderId="16" xfId="0" applyBorder="1"/>
    <xf numFmtId="0" fontId="0" fillId="0" borderId="14" xfId="0" applyBorder="1"/>
    <xf numFmtId="0" fontId="0" fillId="0" borderId="0" xfId="0" applyBorder="1"/>
    <xf numFmtId="0" fontId="0" fillId="0" borderId="18" xfId="0" applyBorder="1"/>
    <xf numFmtId="0" fontId="0" fillId="0" borderId="14" xfId="0" applyBorder="1" applyAlignment="1">
      <alignment wrapText="1"/>
    </xf>
    <xf numFmtId="0" fontId="0" fillId="0" borderId="0" xfId="0" applyBorder="1" applyAlignment="1">
      <alignment wrapText="1"/>
    </xf>
    <xf numFmtId="0" fontId="0" fillId="0" borderId="18" xfId="0" applyBorder="1" applyAlignment="1">
      <alignment wrapText="1"/>
    </xf>
    <xf numFmtId="0" fontId="15" fillId="0" borderId="7" xfId="0" applyFont="1" applyBorder="1" applyAlignment="1">
      <alignment horizontal="left" wrapText="1"/>
    </xf>
    <xf numFmtId="0" fontId="15" fillId="0" borderId="7" xfId="0" applyFont="1" applyBorder="1" applyAlignment="1">
      <alignment wrapText="1"/>
    </xf>
    <xf numFmtId="0" fontId="15" fillId="0" borderId="16" xfId="0" applyFont="1" applyBorder="1" applyAlignment="1">
      <alignment wrapText="1"/>
    </xf>
    <xf numFmtId="0" fontId="15" fillId="0" borderId="0" xfId="0" applyFont="1" applyBorder="1" applyAlignment="1">
      <alignment wrapText="1"/>
    </xf>
    <xf numFmtId="0" fontId="15" fillId="0" borderId="18" xfId="0" applyFont="1" applyBorder="1" applyAlignment="1">
      <alignment wrapText="1"/>
    </xf>
    <xf numFmtId="0" fontId="15" fillId="0" borderId="9" xfId="0" applyFont="1" applyBorder="1" applyAlignment="1">
      <alignment wrapText="1"/>
    </xf>
    <xf numFmtId="0" fontId="15" fillId="0" borderId="10" xfId="0" applyFont="1" applyBorder="1" applyAlignment="1">
      <alignment wrapText="1"/>
    </xf>
    <xf numFmtId="0" fontId="0" fillId="0" borderId="0" xfId="0" applyBorder="1" applyAlignment="1"/>
    <xf numFmtId="0" fontId="6" fillId="0" borderId="0" xfId="0" applyFont="1" applyBorder="1"/>
    <xf numFmtId="0" fontId="6" fillId="0" borderId="0" xfId="0" applyFont="1" applyBorder="1" applyAlignment="1"/>
    <xf numFmtId="0" fontId="9" fillId="0" borderId="0" xfId="0" applyFont="1" applyBorder="1" applyAlignment="1">
      <alignment horizontal="right" vertical="center" wrapText="1"/>
    </xf>
    <xf numFmtId="0" fontId="18" fillId="0" borderId="0" xfId="0" applyFont="1"/>
    <xf numFmtId="0" fontId="18" fillId="0" borderId="2" xfId="0" applyFont="1" applyBorder="1"/>
    <xf numFmtId="0" fontId="18" fillId="0" borderId="2" xfId="0" applyFont="1" applyBorder="1" applyAlignment="1">
      <alignment wrapText="1"/>
    </xf>
    <xf numFmtId="0" fontId="18" fillId="0" borderId="2" xfId="0" applyFont="1" applyBorder="1" applyAlignment="1">
      <alignment vertical="center"/>
    </xf>
    <xf numFmtId="0" fontId="13" fillId="0" borderId="2" xfId="0" applyFont="1" applyFill="1" applyBorder="1" applyAlignment="1">
      <alignment horizontal="center" vertical="center"/>
    </xf>
    <xf numFmtId="0" fontId="15" fillId="0" borderId="2" xfId="0" applyFont="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horizontal="center"/>
    </xf>
    <xf numFmtId="0" fontId="2" fillId="8" borderId="2" xfId="0" applyFont="1" applyFill="1" applyBorder="1" applyAlignment="1">
      <alignment horizontal="center" vertical="center" wrapText="1"/>
    </xf>
    <xf numFmtId="0" fontId="35" fillId="0" borderId="2" xfId="0" applyFont="1" applyBorder="1" applyAlignment="1">
      <alignment horizontal="center" vertical="center"/>
    </xf>
    <xf numFmtId="0" fontId="30" fillId="10" borderId="2" xfId="0" applyFont="1" applyFill="1" applyBorder="1" applyAlignment="1">
      <alignment horizontal="left" vertical="center"/>
    </xf>
    <xf numFmtId="0" fontId="38" fillId="2" borderId="19" xfId="0" applyFont="1" applyFill="1" applyBorder="1" applyAlignment="1">
      <alignment vertical="center" wrapText="1"/>
    </xf>
    <xf numFmtId="0" fontId="38" fillId="2" borderId="12" xfId="0" applyFont="1" applyFill="1" applyBorder="1" applyAlignment="1">
      <alignment vertical="center" wrapText="1"/>
    </xf>
    <xf numFmtId="0" fontId="18" fillId="12" borderId="2" xfId="0" applyFont="1" applyFill="1" applyBorder="1"/>
    <xf numFmtId="177" fontId="35" fillId="0" borderId="2" xfId="0" applyNumberFormat="1" applyFont="1" applyFill="1" applyBorder="1" applyAlignment="1">
      <alignment vertical="center"/>
    </xf>
    <xf numFmtId="0" fontId="15" fillId="0" borderId="6" xfId="0" applyFont="1" applyBorder="1" applyAlignment="1">
      <alignment horizontal="center" vertical="center"/>
    </xf>
    <xf numFmtId="0" fontId="2" fillId="8" borderId="6" xfId="0" applyFont="1" applyFill="1" applyBorder="1" applyAlignment="1">
      <alignment horizontal="center" vertical="center" wrapText="1"/>
    </xf>
    <xf numFmtId="0" fontId="41" fillId="0" borderId="2" xfId="0" applyFont="1" applyFill="1" applyBorder="1" applyAlignment="1">
      <alignment horizontal="center" vertical="center" wrapText="1"/>
    </xf>
    <xf numFmtId="0" fontId="42" fillId="0" borderId="2" xfId="0" applyFont="1" applyFill="1" applyBorder="1" applyAlignment="1">
      <alignment horizontal="center" vertical="center" wrapText="1"/>
    </xf>
    <xf numFmtId="0" fontId="43" fillId="0" borderId="2" xfId="0" applyFont="1" applyFill="1" applyBorder="1" applyAlignment="1">
      <alignment horizontal="center" vertical="center" wrapText="1"/>
    </xf>
    <xf numFmtId="0" fontId="42" fillId="0" borderId="6" xfId="0" applyFont="1" applyFill="1" applyBorder="1" applyAlignment="1">
      <alignment horizontal="center" vertical="center" wrapText="1"/>
    </xf>
    <xf numFmtId="0" fontId="42" fillId="0" borderId="6" xfId="0" applyFont="1" applyFill="1" applyBorder="1" applyAlignment="1">
      <alignment horizontal="center" vertical="center"/>
    </xf>
    <xf numFmtId="0" fontId="17" fillId="0" borderId="2" xfId="0" applyFont="1" applyBorder="1" applyAlignment="1">
      <alignment horizontal="center" vertical="center"/>
    </xf>
    <xf numFmtId="0" fontId="41" fillId="10" borderId="2" xfId="0" applyFont="1" applyFill="1" applyBorder="1" applyAlignment="1">
      <alignment horizontal="center" vertical="center" wrapText="1"/>
    </xf>
    <xf numFmtId="0" fontId="0" fillId="0" borderId="0" xfId="0" applyAlignment="1">
      <alignment vertical="center" wrapText="1"/>
    </xf>
    <xf numFmtId="0" fontId="41" fillId="0" borderId="3" xfId="0" applyFont="1" applyFill="1" applyBorder="1" applyAlignment="1">
      <alignment horizontal="center" vertical="center" wrapText="1"/>
    </xf>
    <xf numFmtId="0" fontId="30" fillId="10" borderId="3" xfId="0" applyFont="1" applyFill="1" applyBorder="1" applyAlignment="1">
      <alignment horizontal="center" vertical="center"/>
    </xf>
    <xf numFmtId="0" fontId="42" fillId="12" borderId="3" xfId="0" applyFont="1" applyFill="1" applyBorder="1" applyAlignment="1">
      <alignment horizontal="center" vertical="center" wrapText="1"/>
    </xf>
    <xf numFmtId="0" fontId="22" fillId="0" borderId="0" xfId="0" applyFont="1" applyFill="1" applyBorder="1" applyAlignment="1">
      <alignment horizontal="center" vertical="center" wrapText="1"/>
    </xf>
    <xf numFmtId="0" fontId="15" fillId="0" borderId="0" xfId="0" applyFont="1" applyBorder="1" applyAlignment="1">
      <alignment horizontal="left" wrapText="1"/>
    </xf>
    <xf numFmtId="0" fontId="15" fillId="0" borderId="15" xfId="0" applyFont="1" applyBorder="1" applyAlignment="1">
      <alignment horizontal="left" wrapText="1"/>
    </xf>
    <xf numFmtId="0" fontId="41" fillId="0" borderId="15" xfId="0" applyFont="1" applyFill="1" applyBorder="1" applyAlignment="1">
      <alignment horizontal="center" vertical="center" wrapText="1"/>
    </xf>
    <xf numFmtId="0" fontId="5" fillId="0" borderId="3" xfId="0" applyFont="1" applyFill="1" applyBorder="1" applyAlignment="1">
      <alignment vertical="center" wrapText="1"/>
    </xf>
    <xf numFmtId="177" fontId="35" fillId="0" borderId="3" xfId="0" applyNumberFormat="1" applyFont="1" applyFill="1" applyBorder="1" applyAlignment="1">
      <alignment vertical="center"/>
    </xf>
    <xf numFmtId="10" fontId="30" fillId="0" borderId="3" xfId="0" applyNumberFormat="1" applyFont="1" applyFill="1" applyBorder="1" applyAlignment="1">
      <alignment horizontal="center" vertical="center"/>
    </xf>
    <xf numFmtId="0" fontId="30" fillId="10" borderId="3" xfId="0" applyFont="1" applyFill="1" applyBorder="1" applyAlignment="1">
      <alignment horizontal="left" vertical="center"/>
    </xf>
    <xf numFmtId="0" fontId="15" fillId="0" borderId="14" xfId="0" applyFont="1" applyBorder="1" applyAlignment="1">
      <alignment horizontal="left" wrapText="1"/>
    </xf>
    <xf numFmtId="0" fontId="22" fillId="0" borderId="14" xfId="0" applyFont="1" applyFill="1" applyBorder="1" applyAlignment="1">
      <alignment horizontal="center" vertical="center" wrapText="1"/>
    </xf>
    <xf numFmtId="0" fontId="42" fillId="0" borderId="14" xfId="0" applyFont="1" applyFill="1" applyBorder="1" applyAlignment="1">
      <alignment horizontal="center" vertical="center" wrapText="1"/>
    </xf>
    <xf numFmtId="0" fontId="41" fillId="0" borderId="14" xfId="0" applyFont="1" applyFill="1" applyBorder="1" applyAlignment="1">
      <alignment horizontal="center" vertical="center" wrapText="1"/>
    </xf>
    <xf numFmtId="0" fontId="30" fillId="0" borderId="14" xfId="0" applyFont="1" applyFill="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10"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176"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2" fontId="52" fillId="0" borderId="27" xfId="0" applyNumberFormat="1" applyFont="1" applyBorder="1" applyAlignment="1">
      <alignment horizontal="center" vertical="center"/>
    </xf>
    <xf numFmtId="0" fontId="47" fillId="7" borderId="2" xfId="0" applyFont="1" applyFill="1" applyBorder="1" applyAlignment="1">
      <alignment horizontal="center" vertical="center" wrapText="1"/>
    </xf>
    <xf numFmtId="10" fontId="17" fillId="0" borderId="2" xfId="0" applyNumberFormat="1" applyFont="1" applyBorder="1" applyAlignment="1">
      <alignment horizontal="center" vertical="center"/>
    </xf>
    <xf numFmtId="10" fontId="17" fillId="0" borderId="3" xfId="0" applyNumberFormat="1" applyFont="1" applyBorder="1" applyAlignment="1">
      <alignment horizontal="center" vertical="center"/>
    </xf>
    <xf numFmtId="10" fontId="17" fillId="0" borderId="4" xfId="0" applyNumberFormat="1" applyFont="1" applyBorder="1" applyAlignment="1">
      <alignment horizontal="center" vertical="center"/>
    </xf>
    <xf numFmtId="10" fontId="17" fillId="0" borderId="5" xfId="0" applyNumberFormat="1" applyFont="1" applyBorder="1" applyAlignment="1">
      <alignment horizontal="center" vertical="center"/>
    </xf>
    <xf numFmtId="0" fontId="47" fillId="7" borderId="15" xfId="0" applyFont="1" applyFill="1" applyBorder="1" applyAlignment="1">
      <alignment horizontal="center" vertical="center"/>
    </xf>
    <xf numFmtId="0" fontId="47" fillId="7" borderId="16" xfId="0" applyFont="1" applyFill="1" applyBorder="1" applyAlignment="1">
      <alignment horizontal="center" vertical="center"/>
    </xf>
    <xf numFmtId="0" fontId="47" fillId="7" borderId="11" xfId="0" applyFont="1" applyFill="1" applyBorder="1" applyAlignment="1">
      <alignment horizontal="center" vertical="center"/>
    </xf>
    <xf numFmtId="0" fontId="47" fillId="7" borderId="10" xfId="0" applyFont="1" applyFill="1" applyBorder="1" applyAlignment="1">
      <alignment horizontal="center" vertical="center"/>
    </xf>
    <xf numFmtId="0" fontId="17" fillId="0" borderId="2" xfId="0" applyFont="1" applyBorder="1" applyAlignment="1">
      <alignment horizontal="center" vertical="center"/>
    </xf>
    <xf numFmtId="0" fontId="17" fillId="0" borderId="15" xfId="0" applyFont="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17" fillId="0" borderId="11"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47" fillId="7"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12" fillId="0" borderId="15"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12" fillId="0" borderId="14" xfId="0" applyFont="1" applyBorder="1" applyAlignment="1">
      <alignment horizontal="center" vertical="center"/>
    </xf>
    <xf numFmtId="0" fontId="12" fillId="0" borderId="0" xfId="0" applyFont="1" applyBorder="1" applyAlignment="1">
      <alignment horizontal="center" vertical="center"/>
    </xf>
    <xf numFmtId="0" fontId="12" fillId="0" borderId="18"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5" fillId="0" borderId="3"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5" xfId="0" applyFont="1" applyFill="1" applyBorder="1" applyAlignment="1">
      <alignment horizontal="left" vertical="center" wrapText="1"/>
    </xf>
    <xf numFmtId="0" fontId="14" fillId="10" borderId="3" xfId="0" applyFont="1" applyFill="1" applyBorder="1" applyAlignment="1">
      <alignment horizontal="center" vertical="center" wrapText="1"/>
    </xf>
    <xf numFmtId="0" fontId="14" fillId="10" borderId="5"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46" fillId="0" borderId="11" xfId="0" applyFont="1" applyBorder="1" applyAlignment="1">
      <alignment horizontal="left" vertical="center"/>
    </xf>
    <xf numFmtId="0" fontId="46" fillId="0" borderId="9" xfId="0" applyFont="1" applyBorder="1" applyAlignment="1">
      <alignment horizontal="left" vertical="center"/>
    </xf>
    <xf numFmtId="0" fontId="46" fillId="0" borderId="10" xfId="0" applyFont="1" applyBorder="1" applyAlignment="1">
      <alignment horizontal="left" vertical="center"/>
    </xf>
    <xf numFmtId="0" fontId="21" fillId="10" borderId="8" xfId="0" applyFont="1" applyFill="1" applyBorder="1" applyAlignment="1">
      <alignment horizontal="center" vertical="center"/>
    </xf>
    <xf numFmtId="0" fontId="21" fillId="10" borderId="14" xfId="0" applyFont="1" applyFill="1" applyBorder="1" applyAlignment="1">
      <alignment horizontal="center" vertical="center"/>
    </xf>
    <xf numFmtId="0" fontId="21" fillId="10" borderId="0" xfId="0" applyFont="1" applyFill="1" applyBorder="1" applyAlignment="1">
      <alignment horizontal="center" vertical="center"/>
    </xf>
    <xf numFmtId="0" fontId="21" fillId="10" borderId="18" xfId="0" applyFont="1" applyFill="1" applyBorder="1" applyAlignment="1">
      <alignment horizontal="center" vertical="center"/>
    </xf>
    <xf numFmtId="0" fontId="47" fillId="10" borderId="2" xfId="0" applyFont="1" applyFill="1" applyBorder="1" applyAlignment="1">
      <alignment horizontal="center" vertical="center" wrapText="1"/>
    </xf>
    <xf numFmtId="0" fontId="0" fillId="0" borderId="2" xfId="0" applyBorder="1" applyAlignment="1">
      <alignment horizontal="center"/>
    </xf>
    <xf numFmtId="10" fontId="0" fillId="0" borderId="2" xfId="0" applyNumberFormat="1" applyBorder="1" applyAlignment="1">
      <alignment horizontal="center"/>
    </xf>
    <xf numFmtId="0" fontId="46" fillId="0" borderId="3" xfId="0" applyFont="1" applyBorder="1" applyAlignment="1">
      <alignment horizontal="left" vertical="center"/>
    </xf>
    <xf numFmtId="0" fontId="46" fillId="0" borderId="4" xfId="0" applyFont="1" applyBorder="1" applyAlignment="1">
      <alignment horizontal="left" vertical="center"/>
    </xf>
    <xf numFmtId="0" fontId="46" fillId="0" borderId="5" xfId="0" applyFont="1" applyBorder="1" applyAlignment="1">
      <alignment horizontal="left" vertical="center"/>
    </xf>
    <xf numFmtId="0" fontId="0" fillId="0" borderId="2" xfId="0" applyBorder="1" applyAlignment="1">
      <alignment horizontal="left" vertical="center" wrapText="1"/>
    </xf>
    <xf numFmtId="0" fontId="14" fillId="10" borderId="4" xfId="0" applyFont="1" applyFill="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3" fillId="10" borderId="2" xfId="0" applyFont="1" applyFill="1" applyBorder="1" applyAlignment="1">
      <alignment horizontal="center" vertical="center"/>
    </xf>
    <xf numFmtId="0" fontId="13" fillId="10" borderId="2" xfId="0" quotePrefix="1" applyFont="1" applyFill="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2" xfId="0" applyFont="1" applyBorder="1" applyAlignment="1">
      <alignment horizontal="center"/>
    </xf>
    <xf numFmtId="10" fontId="15" fillId="0" borderId="2" xfId="0" applyNumberFormat="1" applyFont="1" applyBorder="1" applyAlignment="1">
      <alignment horizontal="center"/>
    </xf>
    <xf numFmtId="0" fontId="15" fillId="0" borderId="3" xfId="0" applyFont="1" applyBorder="1" applyAlignment="1">
      <alignment horizontal="center"/>
    </xf>
    <xf numFmtId="0" fontId="15" fillId="0" borderId="5" xfId="0" applyFont="1" applyBorder="1" applyAlignment="1">
      <alignment horizontal="center"/>
    </xf>
    <xf numFmtId="0" fontId="15" fillId="0" borderId="4" xfId="0" applyFont="1" applyBorder="1" applyAlignment="1">
      <alignment horizontal="center"/>
    </xf>
    <xf numFmtId="0" fontId="13" fillId="10" borderId="2" xfId="0" applyFont="1" applyFill="1" applyBorder="1" applyAlignment="1">
      <alignment horizontal="center" vertical="center" wrapText="1"/>
    </xf>
    <xf numFmtId="0" fontId="15" fillId="11" borderId="2" xfId="0" applyFont="1" applyFill="1" applyBorder="1" applyAlignment="1">
      <alignment horizontal="center"/>
    </xf>
    <xf numFmtId="0" fontId="15" fillId="11" borderId="2" xfId="0" applyFont="1" applyFill="1" applyBorder="1" applyAlignment="1">
      <alignment horizontal="center" vertical="center"/>
    </xf>
    <xf numFmtId="10" fontId="15" fillId="0" borderId="2" xfId="0" applyNumberFormat="1"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24" fillId="0" borderId="3" xfId="0" applyFont="1" applyBorder="1" applyAlignment="1">
      <alignment horizontal="left" vertical="center"/>
    </xf>
    <xf numFmtId="0" fontId="24" fillId="0" borderId="4" xfId="0" applyFont="1" applyBorder="1" applyAlignment="1">
      <alignment horizontal="left" vertical="center"/>
    </xf>
    <xf numFmtId="0" fontId="24" fillId="0" borderId="5" xfId="0" applyFont="1" applyBorder="1" applyAlignment="1">
      <alignment horizontal="left" vertical="center"/>
    </xf>
    <xf numFmtId="10" fontId="15" fillId="0" borderId="3" xfId="0" applyNumberFormat="1" applyFont="1" applyBorder="1" applyAlignment="1">
      <alignment horizontal="center"/>
    </xf>
    <xf numFmtId="10" fontId="15" fillId="0" borderId="4" xfId="0" applyNumberFormat="1" applyFont="1" applyBorder="1" applyAlignment="1">
      <alignment horizontal="center"/>
    </xf>
    <xf numFmtId="10" fontId="15" fillId="0" borderId="5" xfId="0" applyNumberFormat="1" applyFont="1" applyBorder="1" applyAlignment="1">
      <alignment horizontal="center"/>
    </xf>
    <xf numFmtId="0" fontId="15" fillId="0" borderId="11" xfId="0" applyFont="1" applyBorder="1" applyAlignment="1">
      <alignment horizontal="left" vertical="center"/>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25" fillId="0" borderId="3" xfId="0" applyFont="1" applyBorder="1" applyAlignment="1">
      <alignment horizontal="left"/>
    </xf>
    <xf numFmtId="0" fontId="25" fillId="0" borderId="4" xfId="0" applyFont="1" applyBorder="1" applyAlignment="1">
      <alignment horizontal="left"/>
    </xf>
    <xf numFmtId="0" fontId="25" fillId="0" borderId="5" xfId="0" applyFont="1" applyBorder="1" applyAlignment="1">
      <alignment horizontal="left"/>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17" fillId="0" borderId="2" xfId="0" applyFont="1" applyFill="1" applyBorder="1" applyAlignment="1">
      <alignment horizontal="center" vertical="center" wrapText="1"/>
    </xf>
    <xf numFmtId="2" fontId="52" fillId="0" borderId="27" xfId="0" applyNumberFormat="1" applyFont="1" applyBorder="1" applyAlignment="1">
      <alignment horizontal="center" vertical="center"/>
    </xf>
    <xf numFmtId="0" fontId="5" fillId="3" borderId="2" xfId="0" applyFont="1" applyFill="1" applyBorder="1" applyAlignment="1">
      <alignment horizontal="center" vertical="center"/>
    </xf>
    <xf numFmtId="0" fontId="15" fillId="0" borderId="15"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16" xfId="0" applyFont="1" applyFill="1" applyBorder="1" applyAlignment="1">
      <alignment horizontal="center" vertical="center"/>
    </xf>
    <xf numFmtId="0" fontId="15" fillId="0" borderId="14" xfId="0" applyFont="1" applyFill="1" applyBorder="1" applyAlignment="1">
      <alignment horizontal="center" vertical="center"/>
    </xf>
    <xf numFmtId="0" fontId="15" fillId="0" borderId="0" xfId="0" applyFont="1" applyFill="1" applyBorder="1" applyAlignment="1">
      <alignment horizontal="center" vertical="center"/>
    </xf>
    <xf numFmtId="0" fontId="15" fillId="0" borderId="18"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10" xfId="0" applyFont="1" applyFill="1" applyBorder="1" applyAlignment="1">
      <alignment horizontal="center" vertical="center"/>
    </xf>
    <xf numFmtId="0" fontId="17" fillId="7" borderId="6" xfId="0" applyFont="1" applyFill="1" applyBorder="1" applyAlignment="1">
      <alignment horizontal="center" vertical="center"/>
    </xf>
    <xf numFmtId="0" fontId="17" fillId="7" borderId="12" xfId="0" applyFont="1" applyFill="1" applyBorder="1" applyAlignment="1">
      <alignment horizontal="center" vertical="center"/>
    </xf>
    <xf numFmtId="0" fontId="17" fillId="7" borderId="13" xfId="0" applyFont="1" applyFill="1" applyBorder="1" applyAlignment="1">
      <alignment horizontal="center" vertical="center"/>
    </xf>
    <xf numFmtId="0" fontId="13" fillId="13" borderId="6" xfId="0" applyFont="1" applyFill="1" applyBorder="1" applyAlignment="1">
      <alignment horizontal="center" vertical="center"/>
    </xf>
    <xf numFmtId="0" fontId="50" fillId="0" borderId="2" xfId="0" applyFont="1" applyFill="1" applyBorder="1" applyAlignment="1">
      <alignment horizontal="center" vertical="center"/>
    </xf>
    <xf numFmtId="0" fontId="49" fillId="0" borderId="2" xfId="0" applyFont="1" applyFill="1" applyBorder="1" applyAlignment="1">
      <alignment horizontal="center" vertical="center"/>
    </xf>
    <xf numFmtId="0" fontId="22" fillId="9" borderId="3" xfId="0" applyFont="1" applyFill="1" applyBorder="1" applyAlignment="1">
      <alignment horizontal="center" vertical="center" wrapText="1"/>
    </xf>
    <xf numFmtId="0" fontId="22" fillId="9" borderId="4" xfId="0" applyFont="1" applyFill="1" applyBorder="1" applyAlignment="1">
      <alignment horizontal="center" vertical="center" wrapText="1"/>
    </xf>
    <xf numFmtId="0" fontId="15" fillId="0" borderId="3" xfId="0" applyFont="1" applyBorder="1" applyAlignment="1">
      <alignment horizontal="left" wrapText="1"/>
    </xf>
    <xf numFmtId="0" fontId="15" fillId="0" borderId="4" xfId="0" applyFont="1" applyBorder="1" applyAlignment="1">
      <alignment horizontal="left" wrapText="1"/>
    </xf>
    <xf numFmtId="0" fontId="17" fillId="7" borderId="2" xfId="0" applyFont="1" applyFill="1" applyBorder="1" applyAlignment="1">
      <alignment horizontal="center" vertical="center"/>
    </xf>
    <xf numFmtId="0" fontId="13" fillId="0" borderId="13" xfId="0" applyFont="1" applyBorder="1" applyAlignment="1">
      <alignment horizontal="center" vertical="center"/>
    </xf>
    <xf numFmtId="10" fontId="17" fillId="7" borderId="12" xfId="0" applyNumberFormat="1" applyFont="1" applyFill="1" applyBorder="1" applyAlignment="1">
      <alignment horizontal="center" vertical="center"/>
    </xf>
    <xf numFmtId="10" fontId="17" fillId="7" borderId="13" xfId="0" applyNumberFormat="1" applyFont="1" applyFill="1" applyBorder="1" applyAlignment="1">
      <alignment horizontal="center" vertical="center"/>
    </xf>
    <xf numFmtId="10" fontId="17" fillId="7" borderId="17" xfId="0" applyNumberFormat="1" applyFont="1" applyFill="1" applyBorder="1" applyAlignment="1">
      <alignment horizontal="center" vertical="center"/>
    </xf>
    <xf numFmtId="0" fontId="2" fillId="7" borderId="12"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17" xfId="0" applyFont="1" applyFill="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40" fillId="0" borderId="15" xfId="0" applyFont="1" applyBorder="1" applyAlignment="1">
      <alignment horizontal="left" vertical="center" wrapText="1"/>
    </xf>
    <xf numFmtId="0" fontId="40" fillId="0" borderId="7" xfId="0" applyFont="1" applyBorder="1" applyAlignment="1">
      <alignment horizontal="left" vertical="center" wrapText="1"/>
    </xf>
    <xf numFmtId="0" fontId="40" fillId="0" borderId="16" xfId="0" applyFont="1" applyBorder="1" applyAlignment="1">
      <alignment horizontal="left" vertical="center" wrapText="1"/>
    </xf>
    <xf numFmtId="0" fontId="40" fillId="0" borderId="14" xfId="0" applyFont="1" applyBorder="1" applyAlignment="1">
      <alignment horizontal="left" vertical="center" wrapText="1"/>
    </xf>
    <xf numFmtId="0" fontId="40" fillId="0" borderId="0" xfId="0" applyFont="1" applyBorder="1" applyAlignment="1">
      <alignment horizontal="left" vertical="center" wrapText="1"/>
    </xf>
    <xf numFmtId="0" fontId="40" fillId="0" borderId="18" xfId="0" applyFont="1" applyBorder="1" applyAlignment="1">
      <alignment horizontal="left" vertical="center" wrapText="1"/>
    </xf>
    <xf numFmtId="0" fontId="40" fillId="0" borderId="11" xfId="0" applyFont="1" applyBorder="1" applyAlignment="1">
      <alignment horizontal="left" vertical="center" wrapText="1"/>
    </xf>
    <xf numFmtId="0" fontId="40" fillId="0" borderId="9" xfId="0" applyFont="1" applyBorder="1" applyAlignment="1">
      <alignment horizontal="left" vertical="center" wrapText="1"/>
    </xf>
    <xf numFmtId="0" fontId="40" fillId="0" borderId="10" xfId="0" applyFont="1" applyBorder="1" applyAlignment="1">
      <alignment horizontal="left" vertical="center" wrapText="1"/>
    </xf>
    <xf numFmtId="0" fontId="37" fillId="0" borderId="15" xfId="0" applyFont="1" applyBorder="1" applyAlignment="1">
      <alignment horizontal="left" vertical="center" wrapText="1"/>
    </xf>
    <xf numFmtId="0" fontId="37" fillId="0" borderId="7" xfId="0" applyFont="1" applyBorder="1" applyAlignment="1">
      <alignment horizontal="left" vertical="center" wrapText="1"/>
    </xf>
    <xf numFmtId="0" fontId="37" fillId="0" borderId="16" xfId="0" applyFont="1" applyBorder="1" applyAlignment="1">
      <alignment horizontal="left" vertical="center" wrapText="1"/>
    </xf>
    <xf numFmtId="0" fontId="37" fillId="0" borderId="11" xfId="0" applyFont="1" applyBorder="1" applyAlignment="1">
      <alignment horizontal="left" vertical="center" wrapText="1"/>
    </xf>
    <xf numFmtId="0" fontId="37" fillId="0" borderId="9" xfId="0" applyFont="1" applyBorder="1" applyAlignment="1">
      <alignment horizontal="left" vertical="center" wrapText="1"/>
    </xf>
    <xf numFmtId="0" fontId="37" fillId="0" borderId="10" xfId="0" applyFont="1" applyBorder="1" applyAlignment="1">
      <alignment horizontal="left" vertical="center" wrapText="1"/>
    </xf>
    <xf numFmtId="0" fontId="16" fillId="2" borderId="24"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26" xfId="0" applyFont="1" applyFill="1" applyBorder="1" applyAlignment="1">
      <alignment horizontal="center" vertical="center" wrapText="1"/>
    </xf>
    <xf numFmtId="0" fontId="15" fillId="0" borderId="2" xfId="0" applyFont="1" applyBorder="1" applyAlignment="1">
      <alignment horizontal="left" wrapText="1"/>
    </xf>
    <xf numFmtId="0" fontId="16" fillId="2" borderId="8"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21"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38" fillId="2" borderId="12" xfId="0" applyFont="1" applyFill="1" applyBorder="1" applyAlignment="1">
      <alignment horizontal="center" vertical="center" wrapText="1"/>
    </xf>
    <xf numFmtId="0" fontId="38" fillId="2" borderId="13" xfId="0" applyFont="1" applyFill="1" applyBorder="1" applyAlignment="1">
      <alignment horizontal="center" vertical="center" wrapText="1"/>
    </xf>
    <xf numFmtId="0" fontId="49" fillId="12" borderId="3" xfId="0" applyFont="1" applyFill="1" applyBorder="1" applyAlignment="1">
      <alignment horizontal="center" vertical="center"/>
    </xf>
    <xf numFmtId="0" fontId="4" fillId="0" borderId="2" xfId="0" applyFont="1" applyBorder="1" applyAlignment="1">
      <alignment horizontal="center" vertical="center" wrapText="1"/>
    </xf>
    <xf numFmtId="0" fontId="49" fillId="12" borderId="2" xfId="0" applyFont="1" applyFill="1" applyBorder="1" applyAlignment="1">
      <alignment horizontal="center" vertical="center"/>
    </xf>
    <xf numFmtId="0" fontId="14" fillId="0" borderId="3" xfId="0" applyFont="1" applyFill="1" applyBorder="1" applyAlignment="1">
      <alignment horizontal="left" vertical="center" wrapText="1"/>
    </xf>
    <xf numFmtId="0" fontId="14" fillId="0" borderId="4" xfId="0" applyFont="1" applyFill="1" applyBorder="1" applyAlignment="1">
      <alignment horizontal="left" vertical="center" wrapText="1"/>
    </xf>
    <xf numFmtId="0" fontId="14" fillId="0" borderId="5" xfId="0" applyFont="1" applyFill="1" applyBorder="1" applyAlignment="1">
      <alignment horizontal="left" vertical="center" wrapText="1"/>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10" fillId="4" borderId="2" xfId="0" applyFont="1" applyFill="1" applyBorder="1" applyAlignment="1">
      <alignment horizontal="center"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49" fillId="0" borderId="6" xfId="0" applyFont="1" applyFill="1" applyBorder="1" applyAlignment="1">
      <alignment horizontal="center" vertical="center"/>
    </xf>
    <xf numFmtId="0" fontId="49" fillId="0" borderId="8" xfId="0" applyFont="1" applyFill="1" applyBorder="1" applyAlignment="1">
      <alignment horizontal="center" vertical="center"/>
    </xf>
    <xf numFmtId="0" fontId="33" fillId="0" borderId="0" xfId="0" applyFont="1" applyBorder="1" applyAlignment="1">
      <alignment horizontal="center" vertical="center" wrapText="1"/>
    </xf>
    <xf numFmtId="0" fontId="4" fillId="3" borderId="20" xfId="0" applyFont="1" applyFill="1" applyBorder="1" applyAlignment="1">
      <alignment horizontal="left" vertical="center" wrapText="1"/>
    </xf>
    <xf numFmtId="0" fontId="8" fillId="0" borderId="2" xfId="0" applyFont="1" applyBorder="1" applyAlignment="1">
      <alignment horizontal="left" vertical="top"/>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4" fillId="3"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24" fillId="0" borderId="2" xfId="0" applyFont="1" applyBorder="1" applyAlignment="1">
      <alignment horizontal="center"/>
    </xf>
    <xf numFmtId="0" fontId="25" fillId="0" borderId="2" xfId="0" applyFont="1" applyBorder="1"/>
    <xf numFmtId="0" fontId="5" fillId="0" borderId="3"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2" xfId="0" applyFont="1" applyBorder="1" applyAlignment="1">
      <alignment horizontal="center" vertical="center"/>
    </xf>
    <xf numFmtId="0" fontId="13" fillId="0" borderId="2" xfId="0" applyFont="1" applyFill="1" applyBorder="1" applyAlignment="1">
      <alignment horizontal="center" vertical="center"/>
    </xf>
    <xf numFmtId="0" fontId="9" fillId="0" borderId="9" xfId="0" applyFont="1" applyBorder="1" applyAlignment="1">
      <alignment horizontal="center" vertical="center" wrapText="1"/>
    </xf>
    <xf numFmtId="0" fontId="9" fillId="0" borderId="4" xfId="0" applyFont="1" applyBorder="1" applyAlignment="1">
      <alignment horizontal="center" vertical="center" wrapText="1"/>
    </xf>
    <xf numFmtId="0" fontId="0" fillId="0" borderId="0" xfId="0"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15" fillId="0" borderId="2" xfId="0" applyFont="1" applyBorder="1" applyAlignment="1">
      <alignment horizontal="center" wrapText="1"/>
    </xf>
    <xf numFmtId="0" fontId="5" fillId="12" borderId="2"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5" fillId="0" borderId="2" xfId="0" applyFont="1" applyBorder="1" applyAlignment="1">
      <alignment horizontal="left" vertical="center"/>
    </xf>
    <xf numFmtId="0" fontId="29" fillId="0" borderId="2" xfId="0" applyFont="1" applyBorder="1" applyAlignment="1">
      <alignment horizontal="center" wrapText="1"/>
    </xf>
    <xf numFmtId="0" fontId="29"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0" fillId="0" borderId="2" xfId="0" applyFont="1" applyBorder="1" applyAlignment="1">
      <alignment horizontal="center" vertical="center"/>
    </xf>
    <xf numFmtId="0" fontId="13" fillId="5" borderId="2" xfId="0" applyFont="1" applyFill="1" applyBorder="1" applyAlignment="1">
      <alignment horizontal="center" vertical="center"/>
    </xf>
    <xf numFmtId="0" fontId="25" fillId="0" borderId="2" xfId="0" applyFont="1" applyBorder="1" applyAlignment="1">
      <alignment horizontal="left"/>
    </xf>
    <xf numFmtId="0" fontId="3" fillId="2"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31" fillId="0" borderId="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5"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2" fillId="0" borderId="2" xfId="0" applyFont="1" applyBorder="1" applyAlignment="1">
      <alignment horizontal="center" vertical="center" wrapText="1"/>
    </xf>
    <xf numFmtId="0" fontId="11" fillId="2" borderId="2" xfId="0" applyFont="1" applyFill="1" applyBorder="1" applyAlignment="1">
      <alignment horizontal="center" vertical="center"/>
    </xf>
    <xf numFmtId="0" fontId="25" fillId="0" borderId="2" xfId="0" applyFont="1" applyBorder="1" applyAlignment="1">
      <alignment horizontal="left" vertical="center"/>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34" fillId="0" borderId="2" xfId="0" applyFont="1" applyBorder="1" applyAlignment="1">
      <alignment horizontal="left" vertical="center" wrapText="1"/>
    </xf>
    <xf numFmtId="0" fontId="25" fillId="0" borderId="2" xfId="0" applyFont="1" applyFill="1" applyBorder="1" applyAlignment="1">
      <alignment horizontal="left"/>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5" fillId="0" borderId="2" xfId="0" applyFont="1" applyBorder="1" applyAlignment="1">
      <alignment vertical="center" wrapText="1"/>
    </xf>
    <xf numFmtId="0" fontId="27" fillId="0" borderId="2" xfId="0" applyFont="1" applyBorder="1" applyAlignment="1">
      <alignment horizontal="center" vertical="center"/>
    </xf>
    <xf numFmtId="0" fontId="4" fillId="4" borderId="0" xfId="0" applyFont="1" applyFill="1" applyBorder="1" applyAlignment="1">
      <alignment horizontal="center" vertical="center"/>
    </xf>
    <xf numFmtId="0" fontId="25" fillId="0" borderId="2" xfId="0" applyFont="1" applyBorder="1" applyAlignment="1">
      <alignment vertical="center"/>
    </xf>
    <xf numFmtId="0" fontId="4" fillId="0" borderId="2" xfId="0" applyFont="1" applyBorder="1" applyAlignment="1">
      <alignment horizontal="left" vertical="center" wrapText="1"/>
    </xf>
    <xf numFmtId="0" fontId="32"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2" xfId="0" quotePrefix="1" applyFont="1" applyBorder="1" applyAlignment="1">
      <alignment horizontal="center" vertical="center" wrapText="1"/>
    </xf>
    <xf numFmtId="0" fontId="31" fillId="12" borderId="2" xfId="0" applyFont="1" applyFill="1" applyBorder="1" applyAlignment="1">
      <alignment horizontal="center" vertical="center" wrapText="1"/>
    </xf>
    <xf numFmtId="0" fontId="5" fillId="12" borderId="2" xfId="0" applyFont="1" applyFill="1" applyBorder="1" applyAlignment="1">
      <alignment horizontal="left" vertical="center" wrapText="1"/>
    </xf>
    <xf numFmtId="0" fontId="23" fillId="0" borderId="2" xfId="0" applyFont="1" applyBorder="1" applyAlignment="1">
      <alignment horizontal="left" vertical="center" wrapText="1"/>
    </xf>
    <xf numFmtId="0" fontId="12" fillId="0"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5" fillId="0" borderId="2" xfId="0" applyFont="1" applyBorder="1" applyAlignment="1">
      <alignment horizontal="left" vertical="center" wrapText="1"/>
    </xf>
    <xf numFmtId="0" fontId="9"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5" fillId="0" borderId="2" xfId="0" applyFont="1" applyBorder="1" applyAlignment="1">
      <alignment horizontal="center" vertical="center"/>
    </xf>
    <xf numFmtId="0" fontId="4" fillId="4" borderId="2" xfId="0" applyFont="1" applyFill="1" applyBorder="1" applyAlignment="1">
      <alignment horizontal="left" vertical="center"/>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25" fillId="0" borderId="2" xfId="0" applyFont="1" applyBorder="1" applyAlignment="1">
      <alignment horizontal="left" vertical="center" wrapText="1"/>
    </xf>
    <xf numFmtId="0" fontId="20" fillId="0" borderId="2" xfId="0" applyFont="1" applyFill="1" applyBorder="1" applyAlignment="1">
      <alignment horizontal="center" vertical="center"/>
    </xf>
    <xf numFmtId="0" fontId="9" fillId="6" borderId="2" xfId="0" applyFont="1" applyFill="1" applyBorder="1" applyAlignment="1">
      <alignment horizontal="center" vertical="center"/>
    </xf>
    <xf numFmtId="10" fontId="13" fillId="0" borderId="2" xfId="1" applyNumberFormat="1" applyFont="1" applyFill="1" applyBorder="1" applyAlignment="1">
      <alignment horizontal="center" vertical="center"/>
    </xf>
    <xf numFmtId="0" fontId="9" fillId="0" borderId="2" xfId="0" applyFont="1" applyFill="1" applyBorder="1" applyAlignment="1">
      <alignment horizontal="center" vertical="center"/>
    </xf>
    <xf numFmtId="0" fontId="23" fillId="7" borderId="15" xfId="0" applyFont="1" applyFill="1" applyBorder="1" applyAlignment="1">
      <alignment horizontal="center" vertical="center"/>
    </xf>
    <xf numFmtId="0" fontId="23" fillId="7" borderId="7" xfId="0" applyFont="1" applyFill="1" applyBorder="1" applyAlignment="1">
      <alignment horizontal="center" vertical="center"/>
    </xf>
    <xf numFmtId="0" fontId="23" fillId="7" borderId="16" xfId="0" applyFont="1" applyFill="1" applyBorder="1" applyAlignment="1">
      <alignment horizontal="center" vertical="center"/>
    </xf>
    <xf numFmtId="0" fontId="17" fillId="0" borderId="2" xfId="0" applyFont="1" applyBorder="1" applyAlignment="1">
      <alignment horizontal="center" vertical="center" wrapText="1"/>
    </xf>
    <xf numFmtId="0" fontId="44" fillId="0" borderId="0" xfId="0" applyFont="1" applyBorder="1" applyAlignment="1">
      <alignment horizontal="left" wrapText="1"/>
    </xf>
    <xf numFmtId="0" fontId="24" fillId="0" borderId="2" xfId="0" applyFont="1" applyBorder="1" applyAlignment="1">
      <alignment horizontal="left" vertical="center" wrapText="1"/>
    </xf>
    <xf numFmtId="0" fontId="13" fillId="7" borderId="3"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5" fillId="7" borderId="15"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16" xfId="0" applyFont="1" applyFill="1" applyBorder="1" applyAlignment="1">
      <alignment horizontal="center" vertical="center"/>
    </xf>
    <xf numFmtId="0" fontId="36" fillId="0" borderId="2" xfId="0" applyFont="1" applyFill="1" applyBorder="1" applyAlignment="1">
      <alignment horizontal="left" vertical="center" wrapText="1"/>
    </xf>
    <xf numFmtId="0" fontId="15" fillId="0" borderId="2" xfId="0" applyFont="1" applyFill="1" applyBorder="1" applyAlignment="1">
      <alignment horizontal="left" vertical="center" wrapText="1"/>
    </xf>
    <xf numFmtId="0" fontId="16" fillId="2" borderId="2" xfId="0" applyFont="1" applyFill="1" applyBorder="1" applyAlignment="1">
      <alignment horizontal="center" vertical="center"/>
    </xf>
    <xf numFmtId="0" fontId="17" fillId="0" borderId="5" xfId="0" applyFont="1" applyBorder="1" applyAlignment="1">
      <alignment horizontal="center" vertical="center" wrapText="1"/>
    </xf>
    <xf numFmtId="9" fontId="2" fillId="7" borderId="2" xfId="0" applyNumberFormat="1" applyFont="1" applyFill="1" applyBorder="1" applyAlignment="1">
      <alignment horizontal="center" vertical="center" wrapText="1"/>
    </xf>
    <xf numFmtId="0" fontId="13" fillId="7" borderId="2"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7" borderId="2" xfId="0" applyFont="1" applyFill="1" applyBorder="1" applyAlignment="1">
      <alignment horizontal="center" vertical="center"/>
    </xf>
    <xf numFmtId="0" fontId="15" fillId="0" borderId="2" xfId="0" applyFont="1" applyFill="1" applyBorder="1" applyAlignment="1">
      <alignment horizontal="left" wrapText="1"/>
    </xf>
    <xf numFmtId="0" fontId="16" fillId="2" borderId="3"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7" fillId="0" borderId="4" xfId="0" applyFont="1" applyBorder="1" applyAlignment="1">
      <alignment horizontal="center" vertical="center" wrapText="1"/>
    </xf>
    <xf numFmtId="0" fontId="17" fillId="7" borderId="2" xfId="0" applyFont="1" applyFill="1" applyBorder="1" applyAlignment="1">
      <alignment horizontal="left" vertical="center"/>
    </xf>
    <xf numFmtId="0" fontId="39" fillId="4" borderId="2" xfId="0" applyFont="1" applyFill="1" applyBorder="1" applyAlignment="1">
      <alignment horizontal="center" vertical="center" wrapText="1"/>
    </xf>
    <xf numFmtId="0" fontId="29" fillId="0" borderId="2" xfId="0" applyFont="1" applyBorder="1" applyAlignment="1">
      <alignment horizontal="center" vertic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29" fillId="0" borderId="3" xfId="0" applyFont="1" applyBorder="1" applyAlignment="1">
      <alignment horizontal="center" wrapText="1"/>
    </xf>
    <xf numFmtId="0" fontId="7" fillId="2" borderId="2" xfId="0" applyFont="1" applyFill="1" applyBorder="1" applyAlignment="1">
      <alignment horizontal="left" vertical="center" wrapText="1"/>
    </xf>
    <xf numFmtId="0" fontId="36" fillId="0" borderId="2" xfId="0" applyFont="1" applyBorder="1" applyAlignment="1">
      <alignment horizontal="left" vertical="center" wrapText="1"/>
    </xf>
    <xf numFmtId="0" fontId="7" fillId="2" borderId="2"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14" fillId="0" borderId="2" xfId="0" applyFont="1" applyBorder="1" applyAlignment="1">
      <alignment horizontal="center" vertical="center" wrapText="1"/>
    </xf>
    <xf numFmtId="0" fontId="4" fillId="0" borderId="2" xfId="0" applyFont="1" applyFill="1" applyBorder="1" applyAlignment="1">
      <alignment horizontal="left" vertical="top"/>
    </xf>
    <xf numFmtId="0" fontId="14" fillId="0" borderId="2" xfId="0" applyFont="1" applyBorder="1" applyAlignment="1">
      <alignment horizontal="left" vertical="center" wrapText="1"/>
    </xf>
    <xf numFmtId="0" fontId="44" fillId="0" borderId="2" xfId="0" applyFont="1" applyBorder="1" applyAlignment="1">
      <alignment horizontal="left"/>
    </xf>
    <xf numFmtId="0" fontId="15" fillId="0" borderId="6" xfId="0" applyFont="1" applyBorder="1" applyAlignment="1">
      <alignment horizontal="left"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3" borderId="2" xfId="0" applyFont="1" applyFill="1" applyBorder="1" applyAlignment="1">
      <alignment horizontal="center" vertical="center" wrapText="1"/>
    </xf>
    <xf numFmtId="0" fontId="25" fillId="0" borderId="11" xfId="0" applyFont="1" applyBorder="1" applyAlignment="1">
      <alignment horizontal="left"/>
    </xf>
    <xf numFmtId="0" fontId="25" fillId="0" borderId="9" xfId="0" applyFont="1" applyBorder="1" applyAlignment="1">
      <alignment horizontal="left"/>
    </xf>
    <xf numFmtId="0" fontId="25" fillId="0" borderId="10" xfId="0" applyFont="1" applyBorder="1" applyAlignment="1">
      <alignment horizontal="left"/>
    </xf>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5" fillId="3" borderId="2" xfId="0" applyFont="1" applyFill="1" applyBorder="1" applyAlignment="1">
      <alignment horizontal="left" vertical="center" wrapText="1"/>
    </xf>
    <xf numFmtId="0" fontId="4" fillId="0" borderId="2" xfId="0" applyFont="1" applyBorder="1" applyAlignment="1">
      <alignment horizontal="left" vertical="center"/>
    </xf>
    <xf numFmtId="0" fontId="4" fillId="0" borderId="6" xfId="0" applyFont="1" applyBorder="1" applyAlignment="1">
      <alignment horizontal="center" vertical="center"/>
    </xf>
    <xf numFmtId="0" fontId="4" fillId="0" borderId="8" xfId="0" applyFont="1" applyBorder="1" applyAlignment="1">
      <alignment horizontal="center" vertical="center"/>
    </xf>
    <xf numFmtId="0" fontId="5" fillId="7" borderId="2" xfId="0" applyFont="1" applyFill="1" applyBorder="1" applyAlignment="1">
      <alignment horizontal="center" vertical="center"/>
    </xf>
    <xf numFmtId="0" fontId="45" fillId="9" borderId="3" xfId="0" applyFont="1" applyFill="1" applyBorder="1" applyAlignment="1">
      <alignment horizontal="center"/>
    </xf>
    <xf numFmtId="0" fontId="45" fillId="9" borderId="4" xfId="0" applyFont="1" applyFill="1" applyBorder="1" applyAlignment="1">
      <alignment horizontal="center"/>
    </xf>
    <xf numFmtId="0" fontId="45" fillId="9" borderId="5" xfId="0" applyFont="1" applyFill="1" applyBorder="1" applyAlignment="1">
      <alignment horizontal="center"/>
    </xf>
    <xf numFmtId="0" fontId="18" fillId="0" borderId="2" xfId="0" applyFont="1" applyBorder="1" applyAlignment="1">
      <alignment horizontal="center"/>
    </xf>
  </cellXfs>
  <cellStyles count="2">
    <cellStyle name="百分比" xfId="1" builtinId="5"/>
    <cellStyle name="常规" xfId="0" builtinId="0"/>
  </cellStyles>
  <dxfs count="0"/>
  <tableStyles count="0" defaultTableStyle="TableStyleMedium2" defaultPivotStyle="PivotStyleLight16"/>
  <colors>
    <mruColors>
      <color rgb="FFFF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overlay val="0"/>
      <c:spPr>
        <a:noFill/>
        <a:ln>
          <a:noFill/>
        </a:ln>
        <a:effectLst/>
      </c:spPr>
      <c:txPr>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endParaRPr lang="zh-CN"/>
        </a:p>
      </c:txPr>
    </c:title>
    <c:autoTitleDeleted val="0"/>
    <c:plotArea>
      <c:layout/>
      <c:lineChart>
        <c:grouping val="standard"/>
        <c:varyColors val="0"/>
        <c:ser>
          <c:idx val="0"/>
          <c:order val="0"/>
          <c:tx>
            <c:v>反应盘温度</c:v>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('1'!$E$448,'1'!$H$448,'1'!$K$448,'1'!$M$448,'1'!$O$448,'1'!$E$449,'1'!$H$449,'1'!$K$449,'1'!$M$449,'1'!$O$449,'1'!$E$450,'1'!$H$450,'1'!$K$450,'1'!$M$450,'1'!$O$450,'1'!$E$451,'1'!$H$451,'1'!$K$451,'1'!$M$451,'1'!$O$451)</c:f>
              <c:numCache>
                <c:formatCode>General</c:formatCode>
                <c:ptCount val="20"/>
              </c:numCache>
            </c:numRef>
          </c:val>
          <c:smooth val="1"/>
          <c:extLst>
            <c:ext xmlns:c16="http://schemas.microsoft.com/office/drawing/2014/chart" uri="{C3380CC4-5D6E-409C-BE32-E72D297353CC}">
              <c16:uniqueId val="{00000000-C457-460F-9944-C7A46A6A825F}"/>
            </c:ext>
          </c:extLst>
        </c:ser>
        <c:dLbls>
          <c:showLegendKey val="0"/>
          <c:showVal val="0"/>
          <c:showCatName val="0"/>
          <c:showSerName val="0"/>
          <c:showPercent val="0"/>
          <c:showBubbleSize val="0"/>
        </c:dLbls>
        <c:marker val="1"/>
        <c:smooth val="0"/>
        <c:axId val="593470920"/>
        <c:axId val="593468296"/>
      </c:lineChart>
      <c:catAx>
        <c:axId val="593470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68296"/>
        <c:crosses val="autoZero"/>
        <c:auto val="1"/>
        <c:lblAlgn val="ctr"/>
        <c:lblOffset val="100"/>
        <c:noMultiLvlLbl val="0"/>
      </c:catAx>
      <c:valAx>
        <c:axId val="593468296"/>
        <c:scaling>
          <c:orientation val="minMax"/>
          <c:max val="38"/>
          <c:min val="3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in"/>
        <c:tickLblPos val="nextTo"/>
        <c:spPr>
          <a:noFill/>
          <a:ln>
            <a:solidFill>
              <a:schemeClr val="accent1"/>
            </a:solidFill>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593470920"/>
        <c:crosses val="autoZero"/>
        <c:crossBetween val="between"/>
        <c:majorUnit val="1"/>
        <c:minorUnit val="0.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span"/>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ED9A-418D-9572-CB0BCED80A98}"/>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B21-4A33-A9ED-F153EBA1C02B}"/>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A545-432F-95A0-965CAFB0B84E}"/>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Na</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Na线性拟合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'1'!$C$612:$C$616</c:f>
              <c:numCache>
                <c:formatCode>General</c:formatCode>
                <c:ptCount val="5"/>
                <c:pt idx="0">
                  <c:v>100</c:v>
                </c:pt>
                <c:pt idx="1">
                  <c:v>120</c:v>
                </c:pt>
                <c:pt idx="2">
                  <c:v>140</c:v>
                </c:pt>
                <c:pt idx="3">
                  <c:v>160</c:v>
                </c:pt>
                <c:pt idx="4">
                  <c:v>180</c:v>
                </c:pt>
              </c:numCache>
            </c:numRef>
          </c:xVal>
          <c:yVal>
            <c:numRef>
              <c:f>'1'!$M$612:$M$616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E2B1-4550-90A2-9AB611DBF9AF}"/>
            </c:ext>
          </c:extLst>
        </c:ser>
        <c:dLbls>
          <c:showLegendKey val="0"/>
          <c:showVal val="0"/>
          <c:showCatName val="0"/>
          <c:showSerName val="0"/>
          <c:showPercent val="0"/>
          <c:showBubbleSize val="0"/>
        </c:dLbls>
        <c:axId val="825177176"/>
        <c:axId val="825176848"/>
      </c:scatterChart>
      <c:valAx>
        <c:axId val="825177176"/>
        <c:scaling>
          <c:orientation val="minMax"/>
          <c:max val="190"/>
          <c:min val="9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in val="9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K</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K线性拟合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'1'!$C$632:$C$636</c:f>
              <c:numCache>
                <c:formatCode>General</c:formatCode>
                <c:ptCount val="5"/>
                <c:pt idx="0">
                  <c:v>1.5</c:v>
                </c:pt>
                <c:pt idx="1">
                  <c:v>3</c:v>
                </c:pt>
                <c:pt idx="2">
                  <c:v>4.5</c:v>
                </c:pt>
                <c:pt idx="3">
                  <c:v>6</c:v>
                </c:pt>
                <c:pt idx="4">
                  <c:v>7.5</c:v>
                </c:pt>
              </c:numCache>
            </c:numRef>
          </c:xVal>
          <c:yVal>
            <c:numRef>
              <c:f>'1'!$M$632:$M$636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EFF1-4760-A7D7-F0865CA4F8E6}"/>
            </c:ext>
          </c:extLst>
        </c:ser>
        <c:dLbls>
          <c:showLegendKey val="0"/>
          <c:showVal val="0"/>
          <c:showCatName val="0"/>
          <c:showSerName val="0"/>
          <c:showPercent val="0"/>
          <c:showBubbleSize val="0"/>
        </c:dLbls>
        <c:axId val="825177176"/>
        <c:axId val="825176848"/>
      </c:scatterChart>
      <c:valAx>
        <c:axId val="825177176"/>
        <c:scaling>
          <c:orientation val="minMax"/>
          <c:max val="9"/>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
      </c:valAx>
      <c:valAx>
        <c:axId val="825176848"/>
        <c:scaling>
          <c:orientation val="minMax"/>
          <c:max val="9"/>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spcFirstLastPara="1" vertOverflow="ellipsis" vert="horz" wrap="square" rtlCol="0" anchor="ctr" anchorCtr="1"/>
          <a:lstStyle/>
          <a:p>
            <a:pPr lvl="0">
              <a:defRPr sz="1400" b="0" kern="1200">
                <a:solidFill>
                  <a:schemeClr val="tx1">
                    <a:lumMod val="65000"/>
                    <a:lumOff val="35000"/>
                  </a:schemeClr>
                </a:solidFill>
                <a:latin typeface="+mn-lt"/>
                <a:ea typeface="+mn-ea"/>
                <a:cs typeface="+mn-cs"/>
              </a:defRPr>
            </a:pPr>
            <a:r>
              <a:rPr lang="en-US" altLang="zh-CN" b="0">
                <a:latin typeface="宋体" panose="02010600030101010101" pitchFamily="2" charset="-122"/>
                <a:ea typeface="宋体" panose="02010600030101010101" pitchFamily="2" charset="-122"/>
              </a:rPr>
              <a:t>Cl</a:t>
            </a:r>
            <a:r>
              <a:rPr lang="zh-CN" altLang="en-US" b="0">
                <a:latin typeface="宋体" panose="02010600030101010101" pitchFamily="2" charset="-122"/>
                <a:ea typeface="宋体" panose="02010600030101010101" pitchFamily="2" charset="-122"/>
              </a:rPr>
              <a:t>线性拟合</a:t>
            </a:r>
          </a:p>
        </c:rich>
      </c:tx>
      <c:overlay val="0"/>
      <c:spPr>
        <a:noFill/>
        <a:ln>
          <a:noFill/>
        </a:ln>
        <a:effectLst/>
      </c:spPr>
    </c:title>
    <c:autoTitleDeleted val="0"/>
    <c:plotArea>
      <c:layout/>
      <c:scatterChart>
        <c:scatterStyle val="lineMarker"/>
        <c:varyColors val="0"/>
        <c:ser>
          <c:idx val="0"/>
          <c:order val="0"/>
          <c:tx>
            <c:v>Cl线性拟合</c:v>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tx1"/>
                </a:solidFill>
                <a:prstDash val="solid"/>
              </a:ln>
              <a:effectLst/>
            </c:spPr>
            <c:trendlineType val="linear"/>
            <c:dispRSqr val="1"/>
            <c:dispEq val="1"/>
            <c:trendlineLbl>
              <c:layout>
                <c:manualLayout>
                  <c:x val="-0.53726302664269698"/>
                </c:manualLayout>
              </c:layout>
              <c:numFmt formatCode="General" sourceLinked="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trendlineLbl>
          </c:trendline>
          <c:xVal>
            <c:numRef>
              <c:f>'1'!$C$652:$C$656</c:f>
              <c:numCache>
                <c:formatCode>General</c:formatCode>
                <c:ptCount val="5"/>
                <c:pt idx="0">
                  <c:v>80</c:v>
                </c:pt>
                <c:pt idx="1">
                  <c:v>100</c:v>
                </c:pt>
                <c:pt idx="2">
                  <c:v>120</c:v>
                </c:pt>
                <c:pt idx="3">
                  <c:v>140</c:v>
                </c:pt>
                <c:pt idx="4">
                  <c:v>160</c:v>
                </c:pt>
              </c:numCache>
            </c:numRef>
          </c:xVal>
          <c:yVal>
            <c:numRef>
              <c:f>'1'!$M$652:$M$656</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835D-430A-AB4F-D43C72E99F09}"/>
            </c:ext>
          </c:extLst>
        </c:ser>
        <c:dLbls>
          <c:showLegendKey val="0"/>
          <c:showVal val="0"/>
          <c:showCatName val="0"/>
          <c:showSerName val="0"/>
          <c:showPercent val="0"/>
          <c:showBubbleSize val="0"/>
        </c:dLbls>
        <c:axId val="825177176"/>
        <c:axId val="825176848"/>
      </c:scatterChart>
      <c:valAx>
        <c:axId val="825177176"/>
        <c:scaling>
          <c:orientation val="minMax"/>
          <c:max val="170"/>
          <c:min val="70"/>
        </c:scaling>
        <c:delete val="0"/>
        <c:axPos val="b"/>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6848"/>
        <c:crosses val="autoZero"/>
        <c:crossBetween val="midCat"/>
        <c:majorUnit val="10"/>
      </c:valAx>
      <c:valAx>
        <c:axId val="825176848"/>
        <c:scaling>
          <c:orientation val="minMax"/>
          <c:max val="170"/>
          <c:min val="70"/>
        </c:scaling>
        <c:delete val="0"/>
        <c:axPos val="l"/>
        <c:majorGridlines>
          <c:spPr>
            <a:ln w="9525" cap="flat" cmpd="sng" algn="ctr">
              <a:noFill/>
              <a:round/>
            </a:ln>
            <a:effectLst/>
          </c:spPr>
        </c:majorGridlines>
        <c:numFmt formatCode="General" sourceLinked="1"/>
        <c:majorTickMark val="cross"/>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crossAx val="825177176"/>
        <c:crosses val="autoZero"/>
        <c:crossBetween val="midCat"/>
      </c:valAx>
      <c:spPr>
        <a:noFill/>
        <a:ln>
          <a:noFill/>
        </a:ln>
        <a:effectLst/>
      </c:spPr>
    </c:plotArea>
    <c:legend>
      <c:legendPos val="b"/>
      <c:overlay val="0"/>
      <c:spPr>
        <a:noFill/>
        <a:ln>
          <a:noFill/>
        </a:ln>
        <a:effectLst/>
      </c:spPr>
      <c:txPr>
        <a:bodyPr rot="0" spcFirstLastPara="1" vertOverflow="ellipsis" vert="horz" wrap="square" rtlCol="0" anchor="ctr" anchorCtr="1"/>
        <a:lstStyle/>
        <a:p>
          <a:pPr lvl="0">
            <a:defRPr sz="900" b="0" kern="120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noFill/>
      <a:round/>
    </a:ln>
    <a:effectLst/>
  </c:spPr>
  <c:txPr>
    <a:bodyPr rot="0" vertOverflow="overflow" vert="horz" rtlCol="0" anchor="t"/>
    <a:lstStyle/>
    <a:p>
      <a:pPr lvl="0">
        <a:defRPr b="0"/>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3</xdr:col>
      <xdr:colOff>146538</xdr:colOff>
      <xdr:row>456</xdr:row>
      <xdr:rowOff>17251</xdr:rowOff>
    </xdr:from>
    <xdr:to>
      <xdr:col>14</xdr:col>
      <xdr:colOff>181155</xdr:colOff>
      <xdr:row>462</xdr:row>
      <xdr:rowOff>292933</xdr:rowOff>
    </xdr:to>
    <xdr:graphicFrame macro="">
      <xdr:nvGraphicFramePr>
        <xdr:cNvPr id="3" name="图表 2">
          <a:extLst>
            <a:ext uri="{FF2B5EF4-FFF2-40B4-BE49-F238E27FC236}">
              <a16:creationId xmlns:a16="http://schemas.microsoft.com/office/drawing/2014/main" id="{FCBD4F7E-B057-451A-ACEB-B8229F9A7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38818</xdr:colOff>
      <xdr:row>618</xdr:row>
      <xdr:rowOff>8626</xdr:rowOff>
    </xdr:from>
    <xdr:to>
      <xdr:col>13</xdr:col>
      <xdr:colOff>293298</xdr:colOff>
      <xdr:row>626</xdr:row>
      <xdr:rowOff>1112809</xdr:rowOff>
    </xdr:to>
    <xdr:graphicFrame macro="">
      <xdr:nvGraphicFramePr>
        <xdr:cNvPr id="6" name="图表 5">
          <a:extLst>
            <a:ext uri="{FF2B5EF4-FFF2-40B4-BE49-F238E27FC236}">
              <a16:creationId xmlns:a16="http://schemas.microsoft.com/office/drawing/2014/main" id="{35639A6F-030A-4CB3-91EE-FD114125D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388188</xdr:colOff>
      <xdr:row>638</xdr:row>
      <xdr:rowOff>17253</xdr:rowOff>
    </xdr:from>
    <xdr:to>
      <xdr:col>13</xdr:col>
      <xdr:colOff>228600</xdr:colOff>
      <xdr:row>646</xdr:row>
      <xdr:rowOff>1121435</xdr:rowOff>
    </xdr:to>
    <xdr:graphicFrame macro="">
      <xdr:nvGraphicFramePr>
        <xdr:cNvPr id="8" name="图表 7">
          <a:extLst>
            <a:ext uri="{FF2B5EF4-FFF2-40B4-BE49-F238E27FC236}">
              <a16:creationId xmlns:a16="http://schemas.microsoft.com/office/drawing/2014/main" id="{1890E93F-4B06-4FB5-B3E6-1F85967A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51758</xdr:colOff>
      <xdr:row>658</xdr:row>
      <xdr:rowOff>8628</xdr:rowOff>
    </xdr:from>
    <xdr:to>
      <xdr:col>13</xdr:col>
      <xdr:colOff>306238</xdr:colOff>
      <xdr:row>666</xdr:row>
      <xdr:rowOff>1112810</xdr:rowOff>
    </xdr:to>
    <xdr:graphicFrame macro="">
      <xdr:nvGraphicFramePr>
        <xdr:cNvPr id="9" name="图表 8">
          <a:extLst>
            <a:ext uri="{FF2B5EF4-FFF2-40B4-BE49-F238E27FC236}">
              <a16:creationId xmlns:a16="http://schemas.microsoft.com/office/drawing/2014/main" id="{25741F46-BA7B-4E28-B957-A5E67324A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434687</xdr:colOff>
      <xdr:row>5</xdr:row>
      <xdr:rowOff>154131</xdr:rowOff>
    </xdr:from>
    <xdr:to>
      <xdr:col>24</xdr:col>
      <xdr:colOff>539462</xdr:colOff>
      <xdr:row>9</xdr:row>
      <xdr:rowOff>201755</xdr:rowOff>
    </xdr:to>
    <xdr:pic>
      <xdr:nvPicPr>
        <xdr:cNvPr id="7" name="图片 6" descr="C:\Users\50232744\AppData\Local\Temp\WeChat Files\69518f804849bf0f227a7e0f7e0b8b8.jpg">
          <a:extLst>
            <a:ext uri="{FF2B5EF4-FFF2-40B4-BE49-F238E27FC236}">
              <a16:creationId xmlns:a16="http://schemas.microsoft.com/office/drawing/2014/main" id="{79C0E09E-3478-47BB-A832-ACC1CBAB153B}"/>
            </a:ext>
          </a:extLst>
        </xdr:cNvPr>
        <xdr:cNvPicPr preferRelativeResize="0"/>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6599960" y="2076449"/>
          <a:ext cx="4893252" cy="2887806"/>
        </a:xfrm>
        <a:prstGeom prst="rect">
          <a:avLst/>
        </a:prstGeom>
        <a:noFill/>
        <a:ln>
          <a:noFill/>
        </a:ln>
      </xdr:spPr>
    </xdr:pic>
    <xdr:clientData/>
  </xdr:twoCellAnchor>
  <xdr:twoCellAnchor>
    <xdr:from>
      <xdr:col>2</xdr:col>
      <xdr:colOff>38818</xdr:colOff>
      <xdr:row>736</xdr:row>
      <xdr:rowOff>8626</xdr:rowOff>
    </xdr:from>
    <xdr:to>
      <xdr:col>13</xdr:col>
      <xdr:colOff>293298</xdr:colOff>
      <xdr:row>744</xdr:row>
      <xdr:rowOff>1112809</xdr:rowOff>
    </xdr:to>
    <xdr:graphicFrame macro="">
      <xdr:nvGraphicFramePr>
        <xdr:cNvPr id="10" name="图表 9">
          <a:extLst>
            <a:ext uri="{FF2B5EF4-FFF2-40B4-BE49-F238E27FC236}">
              <a16:creationId xmlns:a16="http://schemas.microsoft.com/office/drawing/2014/main" id="{8689609C-2979-4B6F-B9BA-A55653565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388188</xdr:colOff>
      <xdr:row>756</xdr:row>
      <xdr:rowOff>17253</xdr:rowOff>
    </xdr:from>
    <xdr:to>
      <xdr:col>13</xdr:col>
      <xdr:colOff>228600</xdr:colOff>
      <xdr:row>764</xdr:row>
      <xdr:rowOff>1121435</xdr:rowOff>
    </xdr:to>
    <xdr:graphicFrame macro="">
      <xdr:nvGraphicFramePr>
        <xdr:cNvPr id="11" name="图表 10">
          <a:extLst>
            <a:ext uri="{FF2B5EF4-FFF2-40B4-BE49-F238E27FC236}">
              <a16:creationId xmlns:a16="http://schemas.microsoft.com/office/drawing/2014/main" id="{55E8DCF7-FBF1-4E47-99D4-841F8E5C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51758</xdr:colOff>
      <xdr:row>776</xdr:row>
      <xdr:rowOff>8628</xdr:rowOff>
    </xdr:from>
    <xdr:to>
      <xdr:col>13</xdr:col>
      <xdr:colOff>306238</xdr:colOff>
      <xdr:row>784</xdr:row>
      <xdr:rowOff>1112810</xdr:rowOff>
    </xdr:to>
    <xdr:graphicFrame macro="">
      <xdr:nvGraphicFramePr>
        <xdr:cNvPr id="12" name="图表 11">
          <a:extLst>
            <a:ext uri="{FF2B5EF4-FFF2-40B4-BE49-F238E27FC236}">
              <a16:creationId xmlns:a16="http://schemas.microsoft.com/office/drawing/2014/main" id="{12C4338B-83C4-4108-B5D5-74CBAEBD1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104774</xdr:colOff>
      <xdr:row>9</xdr:row>
      <xdr:rowOff>1933286</xdr:rowOff>
    </xdr:from>
    <xdr:to>
      <xdr:col>1</xdr:col>
      <xdr:colOff>5083577</xdr:colOff>
      <xdr:row>15</xdr:row>
      <xdr:rowOff>38100</xdr:rowOff>
    </xdr:to>
    <xdr:pic>
      <xdr:nvPicPr>
        <xdr:cNvPr id="3" name="图片 2">
          <a:extLst>
            <a:ext uri="{FF2B5EF4-FFF2-40B4-BE49-F238E27FC236}">
              <a16:creationId xmlns:a16="http://schemas.microsoft.com/office/drawing/2014/main" id="{699E108C-1A8E-4001-B313-17F2923BE44E}"/>
            </a:ext>
          </a:extLst>
        </xdr:cNvPr>
        <xdr:cNvPicPr preferRelativeResize="0">
          <a:picLocks noChangeAspect="1"/>
        </xdr:cNvPicPr>
      </xdr:nvPicPr>
      <xdr:blipFill>
        <a:blip xmlns:r="http://schemas.openxmlformats.org/officeDocument/2006/relationships" r:embed="rId1"/>
        <a:stretch>
          <a:fillRect/>
        </a:stretch>
      </xdr:blipFill>
      <xdr:spPr>
        <a:xfrm>
          <a:off x="2838449" y="6333836"/>
          <a:ext cx="4978803" cy="18481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10"/>
  <sheetViews>
    <sheetView tabSelected="1" showWhiteSpace="0" view="pageLayout" topLeftCell="A256" zoomScaleNormal="115" workbookViewId="0">
      <selection activeCell="H228" sqref="H228:Q264"/>
    </sheetView>
  </sheetViews>
  <sheetFormatPr defaultColWidth="9" defaultRowHeight="14"/>
  <cols>
    <col min="1" max="5" width="5" customWidth="1"/>
    <col min="6" max="6" width="5" style="1" customWidth="1"/>
    <col min="7" max="8" width="5" customWidth="1"/>
    <col min="9" max="9" width="5" style="1" customWidth="1"/>
    <col min="10" max="15" width="5" customWidth="1"/>
    <col min="16" max="16" width="5" style="1" customWidth="1"/>
    <col min="17" max="17" width="5" customWidth="1"/>
    <col min="18" max="18" width="7.5" customWidth="1"/>
    <col min="19" max="19" width="7.83203125" customWidth="1"/>
    <col min="20" max="20" width="13.58203125" customWidth="1"/>
  </cols>
  <sheetData>
    <row r="1" spans="1:26" ht="37.5" customHeight="1">
      <c r="A1" s="884" t="s">
        <v>389</v>
      </c>
      <c r="B1" s="884"/>
      <c r="C1" s="884"/>
      <c r="D1" s="884"/>
      <c r="E1" s="884"/>
      <c r="F1" s="884"/>
      <c r="G1" s="884"/>
      <c r="H1" s="884"/>
      <c r="I1" s="884"/>
      <c r="J1" s="884"/>
      <c r="K1" s="884"/>
      <c r="L1" s="884"/>
      <c r="M1" s="884"/>
      <c r="N1" s="884"/>
      <c r="O1" s="884"/>
      <c r="P1" s="884"/>
      <c r="Q1" s="884"/>
    </row>
    <row r="2" spans="1:26" ht="31.5" customHeight="1">
      <c r="A2" s="824" t="s">
        <v>0</v>
      </c>
      <c r="B2" s="825"/>
      <c r="C2" s="826"/>
      <c r="D2" s="824"/>
      <c r="E2" s="825"/>
      <c r="F2" s="825"/>
      <c r="G2" s="825"/>
      <c r="H2" s="826"/>
      <c r="I2" s="824" t="s">
        <v>7</v>
      </c>
      <c r="J2" s="825"/>
      <c r="K2" s="825"/>
      <c r="L2" s="826"/>
      <c r="M2" s="823"/>
      <c r="N2" s="823"/>
      <c r="O2" s="823"/>
      <c r="P2" s="823"/>
      <c r="Q2" s="823"/>
      <c r="R2" s="821" t="s">
        <v>322</v>
      </c>
      <c r="S2" s="821"/>
      <c r="T2" s="821"/>
      <c r="U2" s="821"/>
      <c r="V2" s="821"/>
      <c r="W2" s="821"/>
      <c r="X2" s="821"/>
      <c r="Y2" s="821"/>
      <c r="Z2" s="821"/>
    </row>
    <row r="3" spans="1:26" ht="33" customHeight="1">
      <c r="A3" s="824" t="s">
        <v>8</v>
      </c>
      <c r="B3" s="825"/>
      <c r="C3" s="826"/>
      <c r="D3" s="824"/>
      <c r="E3" s="825"/>
      <c r="F3" s="825"/>
      <c r="G3" s="825"/>
      <c r="H3" s="826"/>
      <c r="I3" s="824" t="s">
        <v>9</v>
      </c>
      <c r="J3" s="825"/>
      <c r="K3" s="825"/>
      <c r="L3" s="826"/>
      <c r="M3" s="823" t="s">
        <v>391</v>
      </c>
      <c r="N3" s="823"/>
      <c r="O3" s="823"/>
      <c r="P3" s="823"/>
      <c r="Q3" s="823"/>
      <c r="R3" s="821"/>
      <c r="S3" s="821"/>
      <c r="T3" s="821"/>
      <c r="U3" s="821"/>
      <c r="V3" s="821"/>
      <c r="W3" s="821"/>
      <c r="X3" s="821"/>
      <c r="Y3" s="821"/>
      <c r="Z3" s="821"/>
    </row>
    <row r="4" spans="1:26" ht="27" customHeight="1">
      <c r="A4" s="824" t="s">
        <v>10</v>
      </c>
      <c r="B4" s="825"/>
      <c r="C4" s="826"/>
      <c r="D4" s="824"/>
      <c r="E4" s="825"/>
      <c r="F4" s="825"/>
      <c r="G4" s="825"/>
      <c r="H4" s="826"/>
      <c r="I4" s="824" t="s">
        <v>11</v>
      </c>
      <c r="J4" s="825"/>
      <c r="K4" s="825"/>
      <c r="L4" s="826"/>
      <c r="M4" s="823"/>
      <c r="N4" s="823"/>
      <c r="O4" s="823"/>
      <c r="P4" s="823"/>
      <c r="Q4" s="823"/>
    </row>
    <row r="5" spans="1:26" ht="31.5" customHeight="1">
      <c r="A5" s="824" t="s">
        <v>12</v>
      </c>
      <c r="B5" s="825"/>
      <c r="C5" s="826"/>
      <c r="D5" s="824" t="s">
        <v>390</v>
      </c>
      <c r="E5" s="825"/>
      <c r="F5" s="825"/>
      <c r="G5" s="825"/>
      <c r="H5" s="826"/>
      <c r="I5" s="824" t="s">
        <v>13</v>
      </c>
      <c r="J5" s="825"/>
      <c r="K5" s="825"/>
      <c r="L5" s="826"/>
      <c r="M5" s="823" t="s">
        <v>392</v>
      </c>
      <c r="N5" s="823"/>
      <c r="O5" s="823"/>
      <c r="P5" s="823"/>
      <c r="Q5" s="823"/>
      <c r="R5" s="41"/>
      <c r="S5" s="41"/>
      <c r="T5" s="41"/>
      <c r="U5" s="41"/>
      <c r="V5" s="41"/>
      <c r="W5" s="41"/>
      <c r="X5" s="41"/>
      <c r="Y5" s="41"/>
      <c r="Z5" s="41"/>
    </row>
    <row r="6" spans="1:26" ht="153.75" customHeight="1">
      <c r="A6" s="908" t="s">
        <v>316</v>
      </c>
      <c r="B6" s="873"/>
      <c r="C6" s="873"/>
      <c r="D6" s="873"/>
      <c r="E6" s="873"/>
      <c r="F6" s="873"/>
      <c r="G6" s="873"/>
      <c r="H6" s="873"/>
      <c r="I6" s="873"/>
      <c r="J6" s="873"/>
      <c r="K6" s="873"/>
      <c r="L6" s="873"/>
      <c r="M6" s="873"/>
      <c r="N6" s="873"/>
      <c r="O6" s="873"/>
      <c r="P6" s="873"/>
      <c r="Q6" s="873"/>
      <c r="R6" s="842"/>
      <c r="S6" s="842"/>
      <c r="T6" s="842"/>
      <c r="U6" s="842"/>
      <c r="V6" s="842"/>
      <c r="W6" s="842"/>
      <c r="X6" s="842"/>
      <c r="Y6" s="842"/>
      <c r="Z6" s="842"/>
    </row>
    <row r="7" spans="1:26" s="12" customFormat="1" ht="21" customHeight="1">
      <c r="A7" s="886" t="s">
        <v>14</v>
      </c>
      <c r="B7" s="886"/>
      <c r="C7" s="886"/>
      <c r="D7" s="886"/>
      <c r="E7" s="886"/>
      <c r="F7" s="886"/>
      <c r="G7" s="886"/>
      <c r="H7" s="886"/>
      <c r="I7" s="886"/>
      <c r="J7" s="886"/>
      <c r="K7" s="886"/>
      <c r="L7" s="886"/>
      <c r="M7" s="886"/>
      <c r="N7" s="886"/>
      <c r="O7" s="886"/>
      <c r="P7" s="886"/>
      <c r="Q7" s="886"/>
      <c r="R7" s="842"/>
      <c r="S7" s="842"/>
      <c r="T7" s="842"/>
      <c r="U7" s="842"/>
      <c r="V7" s="842"/>
      <c r="W7" s="842"/>
      <c r="X7" s="842"/>
      <c r="Y7" s="842"/>
      <c r="Z7" s="842"/>
    </row>
    <row r="8" spans="1:26" ht="24.75" customHeight="1">
      <c r="A8" s="886" t="s">
        <v>15</v>
      </c>
      <c r="B8" s="886"/>
      <c r="C8" s="886"/>
      <c r="D8" s="886"/>
      <c r="E8" s="886"/>
      <c r="F8" s="886"/>
      <c r="G8" s="886"/>
      <c r="H8" s="886"/>
      <c r="I8" s="886"/>
      <c r="J8" s="886"/>
      <c r="K8" s="886"/>
      <c r="L8" s="886"/>
      <c r="M8" s="886"/>
      <c r="N8" s="886"/>
      <c r="O8" s="886"/>
      <c r="P8" s="886"/>
      <c r="Q8" s="886"/>
      <c r="R8" s="842"/>
      <c r="S8" s="842"/>
      <c r="T8" s="842"/>
      <c r="U8" s="842"/>
      <c r="V8" s="842"/>
      <c r="W8" s="842"/>
      <c r="X8" s="842"/>
      <c r="Y8" s="842"/>
      <c r="Z8" s="842"/>
    </row>
    <row r="9" spans="1:26" ht="24" customHeight="1">
      <c r="A9" s="860" t="s">
        <v>16</v>
      </c>
      <c r="B9" s="860"/>
      <c r="C9" s="860"/>
      <c r="D9" s="860"/>
      <c r="E9" s="860"/>
      <c r="F9" s="860"/>
      <c r="G9" s="860"/>
      <c r="H9" s="860"/>
      <c r="I9" s="860"/>
      <c r="J9" s="860"/>
      <c r="K9" s="860"/>
      <c r="L9" s="860"/>
      <c r="M9" s="860"/>
      <c r="N9" s="860"/>
      <c r="O9" s="860"/>
      <c r="P9" s="860"/>
      <c r="Q9" s="860"/>
      <c r="R9" s="842"/>
      <c r="S9" s="842"/>
      <c r="T9" s="842"/>
      <c r="U9" s="842"/>
      <c r="V9" s="842"/>
      <c r="W9" s="842"/>
      <c r="X9" s="842"/>
      <c r="Y9" s="842"/>
      <c r="Z9" s="842"/>
    </row>
    <row r="10" spans="1:26" ht="27.75" customHeight="1">
      <c r="A10" s="803" t="s">
        <v>17</v>
      </c>
      <c r="B10" s="803"/>
      <c r="C10" s="803"/>
      <c r="D10" s="803"/>
      <c r="E10" s="803"/>
      <c r="F10" s="803"/>
      <c r="G10" s="803"/>
      <c r="H10" s="803"/>
      <c r="I10" s="803"/>
      <c r="J10" s="803"/>
      <c r="K10" s="803"/>
      <c r="L10" s="803"/>
      <c r="M10" s="803"/>
      <c r="N10" s="803"/>
      <c r="O10" s="803"/>
      <c r="P10" s="803"/>
      <c r="Q10" s="803"/>
      <c r="R10" s="842"/>
      <c r="S10" s="842"/>
      <c r="T10" s="842"/>
      <c r="U10" s="842"/>
      <c r="V10" s="842"/>
      <c r="W10" s="842"/>
      <c r="X10" s="842"/>
      <c r="Y10" s="842"/>
      <c r="Z10" s="842"/>
    </row>
    <row r="11" spans="1:26" ht="25.5" customHeight="1">
      <c r="A11" s="827" t="s">
        <v>255</v>
      </c>
      <c r="B11" s="827"/>
      <c r="C11" s="827"/>
      <c r="D11" s="827"/>
      <c r="E11" s="827" t="s">
        <v>19</v>
      </c>
      <c r="F11" s="827"/>
      <c r="G11" s="827"/>
      <c r="H11" s="827"/>
      <c r="I11" s="827"/>
      <c r="J11" s="827"/>
      <c r="K11" s="827" t="s">
        <v>31</v>
      </c>
      <c r="L11" s="827"/>
      <c r="M11" s="827"/>
      <c r="N11" s="827" t="s">
        <v>20</v>
      </c>
      <c r="O11" s="827"/>
      <c r="P11" s="827"/>
      <c r="Q11" s="827"/>
      <c r="R11" s="29"/>
      <c r="S11" s="29"/>
      <c r="T11" s="29"/>
      <c r="U11" s="29"/>
      <c r="V11" s="29"/>
      <c r="W11" s="29"/>
      <c r="X11" s="29"/>
      <c r="Y11" s="29"/>
      <c r="Z11" s="29"/>
    </row>
    <row r="12" spans="1:26" s="2" customFormat="1" ht="33.75" customHeight="1">
      <c r="A12" s="828" t="s">
        <v>21</v>
      </c>
      <c r="B12" s="828"/>
      <c r="C12" s="828"/>
      <c r="D12" s="828"/>
      <c r="E12" s="828" t="s">
        <v>22</v>
      </c>
      <c r="F12" s="828"/>
      <c r="G12" s="828"/>
      <c r="H12" s="828"/>
      <c r="I12" s="828"/>
      <c r="J12" s="828"/>
      <c r="K12" s="829" t="s">
        <v>96</v>
      </c>
      <c r="L12" s="829"/>
      <c r="M12" s="829"/>
      <c r="N12" s="828" t="s">
        <v>393</v>
      </c>
      <c r="O12" s="828"/>
      <c r="P12" s="828"/>
      <c r="Q12" s="828"/>
      <c r="R12" s="42"/>
      <c r="S12" s="42"/>
      <c r="T12" s="42"/>
      <c r="U12" s="42"/>
      <c r="V12" s="42"/>
      <c r="W12" s="42"/>
      <c r="X12" s="42"/>
      <c r="Y12" s="42"/>
      <c r="Z12" s="42"/>
    </row>
    <row r="13" spans="1:26" s="2" customFormat="1" ht="48.75" customHeight="1">
      <c r="A13" s="828" t="s">
        <v>23</v>
      </c>
      <c r="B13" s="828"/>
      <c r="C13" s="828"/>
      <c r="D13" s="828"/>
      <c r="E13" s="828" t="s">
        <v>24</v>
      </c>
      <c r="F13" s="828"/>
      <c r="G13" s="828"/>
      <c r="H13" s="828"/>
      <c r="I13" s="828"/>
      <c r="J13" s="828"/>
      <c r="K13" s="829" t="s">
        <v>96</v>
      </c>
      <c r="L13" s="829"/>
      <c r="M13" s="829"/>
      <c r="N13" s="828" t="s">
        <v>393</v>
      </c>
      <c r="O13" s="828"/>
      <c r="P13" s="828"/>
      <c r="Q13" s="828"/>
      <c r="R13" s="42"/>
      <c r="S13" s="42"/>
      <c r="T13" s="44" t="s">
        <v>273</v>
      </c>
      <c r="U13" s="840"/>
      <c r="V13" s="840"/>
      <c r="W13" s="840"/>
      <c r="X13" s="840"/>
      <c r="Y13" s="43"/>
      <c r="Z13" s="42"/>
    </row>
    <row r="14" spans="1:26" s="2" customFormat="1" ht="45" customHeight="1">
      <c r="A14" s="828" t="s">
        <v>25</v>
      </c>
      <c r="B14" s="828"/>
      <c r="C14" s="828"/>
      <c r="D14" s="828"/>
      <c r="E14" s="828" t="s">
        <v>26</v>
      </c>
      <c r="F14" s="828"/>
      <c r="G14" s="828"/>
      <c r="H14" s="828"/>
      <c r="I14" s="828"/>
      <c r="J14" s="828"/>
      <c r="K14" s="829" t="s">
        <v>96</v>
      </c>
      <c r="L14" s="829"/>
      <c r="M14" s="829"/>
      <c r="N14" s="828" t="s">
        <v>393</v>
      </c>
      <c r="O14" s="828"/>
      <c r="P14" s="828"/>
      <c r="Q14" s="828"/>
      <c r="R14" s="42"/>
      <c r="S14" s="42"/>
      <c r="T14" s="44" t="s">
        <v>274</v>
      </c>
      <c r="U14" s="841"/>
      <c r="V14" s="841"/>
      <c r="W14" s="841"/>
      <c r="X14" s="841"/>
      <c r="Y14" s="43"/>
      <c r="Z14" s="42"/>
    </row>
    <row r="15" spans="1:26" s="2" customFormat="1" ht="42" customHeight="1">
      <c r="A15" s="828" t="s">
        <v>27</v>
      </c>
      <c r="B15" s="828"/>
      <c r="C15" s="828"/>
      <c r="D15" s="828"/>
      <c r="E15" s="828" t="s">
        <v>28</v>
      </c>
      <c r="F15" s="828"/>
      <c r="G15" s="828"/>
      <c r="H15" s="828"/>
      <c r="I15" s="828"/>
      <c r="J15" s="828"/>
      <c r="K15" s="829" t="s">
        <v>96</v>
      </c>
      <c r="L15" s="829"/>
      <c r="M15" s="829"/>
      <c r="N15" s="828" t="s">
        <v>393</v>
      </c>
      <c r="O15" s="828"/>
      <c r="P15" s="828"/>
      <c r="Q15" s="828"/>
      <c r="R15" s="42"/>
      <c r="S15" s="42"/>
      <c r="T15" s="44" t="s">
        <v>275</v>
      </c>
      <c r="U15" s="841"/>
      <c r="V15" s="841"/>
      <c r="W15" s="841"/>
      <c r="X15" s="841"/>
      <c r="Y15" s="43"/>
      <c r="Z15" s="42"/>
    </row>
    <row r="16" spans="1:26" s="2" customFormat="1" ht="37.5" customHeight="1">
      <c r="A16" s="828" t="s">
        <v>29</v>
      </c>
      <c r="B16" s="828"/>
      <c r="C16" s="828"/>
      <c r="D16" s="828"/>
      <c r="E16" s="828" t="s">
        <v>261</v>
      </c>
      <c r="F16" s="828"/>
      <c r="G16" s="828"/>
      <c r="H16" s="828"/>
      <c r="I16" s="828"/>
      <c r="J16" s="828"/>
      <c r="K16" s="829" t="s">
        <v>96</v>
      </c>
      <c r="L16" s="829"/>
      <c r="M16" s="829"/>
      <c r="N16" s="828" t="s">
        <v>393</v>
      </c>
      <c r="O16" s="828"/>
      <c r="P16" s="828"/>
      <c r="Q16" s="828"/>
      <c r="R16" s="42"/>
      <c r="S16" s="42"/>
      <c r="T16" s="44" t="s">
        <v>276</v>
      </c>
      <c r="U16" s="841" t="s">
        <v>391</v>
      </c>
      <c r="V16" s="841"/>
      <c r="W16" s="841"/>
      <c r="X16" s="841"/>
      <c r="Y16" s="43"/>
      <c r="Z16" s="42"/>
    </row>
    <row r="17" spans="1:26" s="2" customFormat="1" ht="42.75" customHeight="1">
      <c r="A17" s="828" t="s">
        <v>30</v>
      </c>
      <c r="B17" s="828"/>
      <c r="C17" s="828"/>
      <c r="D17" s="828"/>
      <c r="E17" s="828" t="s">
        <v>272</v>
      </c>
      <c r="F17" s="828"/>
      <c r="G17" s="828"/>
      <c r="H17" s="828"/>
      <c r="I17" s="828"/>
      <c r="J17" s="828"/>
      <c r="K17" s="829" t="s">
        <v>96</v>
      </c>
      <c r="L17" s="829"/>
      <c r="M17" s="829"/>
      <c r="N17" s="828" t="s">
        <v>393</v>
      </c>
      <c r="O17" s="828"/>
      <c r="P17" s="828"/>
      <c r="Q17" s="828"/>
      <c r="R17" s="42"/>
      <c r="S17" s="42"/>
      <c r="T17" s="44" t="s">
        <v>277</v>
      </c>
      <c r="U17" s="841"/>
      <c r="V17" s="841"/>
      <c r="W17" s="841"/>
      <c r="X17" s="841"/>
      <c r="Y17" s="43"/>
      <c r="Z17" s="42"/>
    </row>
    <row r="18" spans="1:26" s="2" customFormat="1" ht="39.75" customHeight="1">
      <c r="A18" s="828" t="s">
        <v>236</v>
      </c>
      <c r="B18" s="828"/>
      <c r="C18" s="828"/>
      <c r="D18" s="828"/>
      <c r="E18" s="828" t="s">
        <v>237</v>
      </c>
      <c r="F18" s="828"/>
      <c r="G18" s="828"/>
      <c r="H18" s="828"/>
      <c r="I18" s="828"/>
      <c r="J18" s="828"/>
      <c r="K18" s="829" t="s">
        <v>96</v>
      </c>
      <c r="L18" s="829"/>
      <c r="M18" s="829"/>
      <c r="N18" s="828" t="s">
        <v>393</v>
      </c>
      <c r="O18" s="828"/>
      <c r="P18" s="828"/>
      <c r="Q18" s="828"/>
      <c r="R18" s="42"/>
      <c r="S18" s="42"/>
      <c r="T18" s="44" t="s">
        <v>278</v>
      </c>
      <c r="U18" s="841" t="s">
        <v>390</v>
      </c>
      <c r="V18" s="841"/>
      <c r="W18" s="841"/>
      <c r="X18" s="841"/>
      <c r="Y18" s="43"/>
      <c r="Z18" s="42"/>
    </row>
    <row r="19" spans="1:26" ht="51" customHeight="1">
      <c r="A19" s="828" t="s">
        <v>323</v>
      </c>
      <c r="B19" s="828"/>
      <c r="C19" s="828"/>
      <c r="D19" s="828"/>
      <c r="E19" s="834"/>
      <c r="F19" s="835"/>
      <c r="G19" s="835"/>
      <c r="H19" s="835"/>
      <c r="I19" s="835"/>
      <c r="J19" s="835"/>
      <c r="K19" s="835"/>
      <c r="L19" s="835"/>
      <c r="M19" s="835"/>
      <c r="N19" s="835"/>
      <c r="O19" s="835"/>
      <c r="P19" s="835"/>
      <c r="Q19" s="836"/>
      <c r="R19" s="29"/>
      <c r="S19" s="29"/>
      <c r="T19" s="44" t="s">
        <v>279</v>
      </c>
      <c r="U19" s="840" t="s">
        <v>392</v>
      </c>
      <c r="V19" s="840"/>
      <c r="W19" s="840"/>
      <c r="X19" s="840"/>
      <c r="Y19" s="41"/>
      <c r="Z19" s="29"/>
    </row>
    <row r="20" spans="1:26" s="3" customFormat="1" ht="14.25" customHeight="1">
      <c r="A20" s="775" t="s">
        <v>317</v>
      </c>
      <c r="B20" s="776"/>
      <c r="C20" s="776"/>
      <c r="D20" s="776"/>
      <c r="E20" s="776"/>
      <c r="F20" s="776"/>
      <c r="G20" s="776"/>
      <c r="H20" s="776"/>
      <c r="I20" s="776"/>
      <c r="J20" s="776"/>
      <c r="K20" s="776"/>
      <c r="L20" s="776"/>
      <c r="M20" s="776"/>
      <c r="N20" s="776"/>
      <c r="O20" s="776"/>
      <c r="P20" s="776"/>
      <c r="Q20" s="777"/>
      <c r="R20" s="32"/>
      <c r="S20" s="32"/>
      <c r="T20" s="32"/>
      <c r="U20" s="32"/>
      <c r="V20" s="32"/>
      <c r="W20" s="32"/>
      <c r="X20" s="32"/>
      <c r="Y20" s="32"/>
      <c r="Z20" s="32"/>
    </row>
    <row r="21" spans="1:26" s="3" customFormat="1">
      <c r="A21" s="778"/>
      <c r="B21" s="779"/>
      <c r="C21" s="779"/>
      <c r="D21" s="779"/>
      <c r="E21" s="779"/>
      <c r="F21" s="779"/>
      <c r="G21" s="779"/>
      <c r="H21" s="779"/>
      <c r="I21" s="779"/>
      <c r="J21" s="779"/>
      <c r="K21" s="779"/>
      <c r="L21" s="779"/>
      <c r="M21" s="779"/>
      <c r="N21" s="779"/>
      <c r="O21" s="779"/>
      <c r="P21" s="779"/>
      <c r="Q21" s="780"/>
      <c r="R21" s="32"/>
      <c r="S21" s="32"/>
      <c r="T21" s="32"/>
      <c r="U21" s="32"/>
      <c r="V21" s="32"/>
      <c r="W21" s="32"/>
      <c r="X21" s="32"/>
      <c r="Y21" s="32"/>
      <c r="Z21" s="32"/>
    </row>
    <row r="22" spans="1:26" s="3" customFormat="1">
      <c r="A22" s="778"/>
      <c r="B22" s="779"/>
      <c r="C22" s="779"/>
      <c r="D22" s="779"/>
      <c r="E22" s="779"/>
      <c r="F22" s="779"/>
      <c r="G22" s="779"/>
      <c r="H22" s="779"/>
      <c r="I22" s="779"/>
      <c r="J22" s="779"/>
      <c r="K22" s="779"/>
      <c r="L22" s="779"/>
      <c r="M22" s="779"/>
      <c r="N22" s="779"/>
      <c r="O22" s="779"/>
      <c r="P22" s="779"/>
      <c r="Q22" s="780"/>
      <c r="R22" s="32"/>
      <c r="S22" s="32"/>
      <c r="T22" s="32"/>
      <c r="U22" s="32"/>
      <c r="V22" s="32"/>
      <c r="W22" s="32"/>
      <c r="X22" s="32"/>
      <c r="Y22" s="32"/>
      <c r="Z22" s="32"/>
    </row>
    <row r="23" spans="1:26" s="3" customFormat="1">
      <c r="A23" s="781"/>
      <c r="B23" s="782"/>
      <c r="C23" s="782"/>
      <c r="D23" s="782"/>
      <c r="E23" s="782"/>
      <c r="F23" s="782"/>
      <c r="G23" s="782"/>
      <c r="H23" s="782"/>
      <c r="I23" s="782"/>
      <c r="J23" s="782"/>
      <c r="K23" s="782"/>
      <c r="L23" s="782"/>
      <c r="M23" s="782"/>
      <c r="N23" s="782"/>
      <c r="O23" s="782"/>
      <c r="P23" s="782"/>
      <c r="Q23" s="783"/>
      <c r="R23" s="32"/>
      <c r="S23" s="32"/>
      <c r="T23" s="32"/>
      <c r="U23" s="32"/>
      <c r="V23" s="32"/>
      <c r="W23" s="32"/>
      <c r="X23" s="32"/>
      <c r="Y23" s="32"/>
      <c r="Z23" s="32"/>
    </row>
    <row r="24" spans="1:26" ht="14.5">
      <c r="A24" s="859" t="s">
        <v>32</v>
      </c>
      <c r="B24" s="859"/>
      <c r="C24" s="859"/>
      <c r="D24" s="859"/>
      <c r="E24" s="859"/>
      <c r="F24" s="859"/>
      <c r="G24" s="859"/>
      <c r="H24" s="859"/>
      <c r="I24" s="859"/>
      <c r="J24" s="859"/>
      <c r="K24" s="859"/>
      <c r="L24" s="859"/>
      <c r="M24" s="859"/>
      <c r="N24" s="859"/>
      <c r="O24" s="859"/>
      <c r="P24" s="859"/>
      <c r="Q24" s="859"/>
    </row>
    <row r="25" spans="1:26" ht="26.25" customHeight="1">
      <c r="A25" s="860" t="s">
        <v>345</v>
      </c>
      <c r="B25" s="860"/>
      <c r="C25" s="860"/>
      <c r="D25" s="860"/>
      <c r="E25" s="860"/>
      <c r="F25" s="860"/>
      <c r="G25" s="860"/>
      <c r="H25" s="860"/>
      <c r="I25" s="860"/>
      <c r="J25" s="860"/>
      <c r="K25" s="860"/>
      <c r="L25" s="860"/>
      <c r="M25" s="860"/>
      <c r="N25" s="860"/>
      <c r="O25" s="860"/>
      <c r="P25" s="860"/>
      <c r="Q25" s="860"/>
    </row>
    <row r="26" spans="1:26" ht="24" customHeight="1">
      <c r="A26" s="770" t="s">
        <v>33</v>
      </c>
      <c r="B26" s="770"/>
      <c r="C26" s="770"/>
      <c r="D26" s="770"/>
      <c r="E26" s="770"/>
      <c r="F26" s="770"/>
      <c r="G26" s="770"/>
      <c r="H26" s="770"/>
      <c r="I26" s="770"/>
      <c r="J26" s="770"/>
      <c r="K26" s="770"/>
      <c r="L26" s="770"/>
      <c r="M26" s="770"/>
      <c r="N26" s="770"/>
      <c r="O26" s="770"/>
      <c r="P26" s="770"/>
      <c r="Q26" s="770"/>
    </row>
    <row r="27" spans="1:26" ht="38.25" customHeight="1">
      <c r="A27" s="774" t="s">
        <v>34</v>
      </c>
      <c r="B27" s="774"/>
      <c r="C27" s="774"/>
      <c r="D27" s="774"/>
      <c r="E27" s="774" t="s">
        <v>35</v>
      </c>
      <c r="F27" s="774"/>
      <c r="G27" s="774"/>
      <c r="H27" s="774"/>
      <c r="I27" s="771" t="s">
        <v>34</v>
      </c>
      <c r="J27" s="772"/>
      <c r="K27" s="772"/>
      <c r="L27" s="772"/>
      <c r="M27" s="773"/>
      <c r="N27" s="774" t="s">
        <v>35</v>
      </c>
      <c r="O27" s="774"/>
      <c r="P27" s="774"/>
      <c r="Q27" s="774"/>
    </row>
    <row r="28" spans="1:26" ht="36.75" customHeight="1">
      <c r="A28" s="831" t="s">
        <v>222</v>
      </c>
      <c r="B28" s="832"/>
      <c r="C28" s="832"/>
      <c r="D28" s="833"/>
      <c r="E28" s="883" t="s">
        <v>393</v>
      </c>
      <c r="F28" s="883"/>
      <c r="G28" s="883"/>
      <c r="H28" s="883"/>
      <c r="I28" s="862" t="s">
        <v>332</v>
      </c>
      <c r="J28" s="863"/>
      <c r="K28" s="863"/>
      <c r="L28" s="863"/>
      <c r="M28" s="864"/>
      <c r="N28" s="883" t="s">
        <v>393</v>
      </c>
      <c r="O28" s="883"/>
      <c r="P28" s="883"/>
      <c r="Q28" s="883"/>
    </row>
    <row r="29" spans="1:26" ht="40.5" customHeight="1">
      <c r="A29" s="831" t="s">
        <v>239</v>
      </c>
      <c r="B29" s="832"/>
      <c r="C29" s="832"/>
      <c r="D29" s="833"/>
      <c r="E29" s="883" t="s">
        <v>393</v>
      </c>
      <c r="F29" s="883"/>
      <c r="G29" s="883"/>
      <c r="H29" s="883"/>
      <c r="I29" s="862" t="s">
        <v>238</v>
      </c>
      <c r="J29" s="863"/>
      <c r="K29" s="863"/>
      <c r="L29" s="863"/>
      <c r="M29" s="864"/>
      <c r="N29" s="883" t="s">
        <v>393</v>
      </c>
      <c r="O29" s="883"/>
      <c r="P29" s="883"/>
      <c r="Q29" s="883"/>
    </row>
    <row r="30" spans="1:26" s="1" customFormat="1" ht="39.75" customHeight="1">
      <c r="A30" s="831" t="s">
        <v>240</v>
      </c>
      <c r="B30" s="832"/>
      <c r="C30" s="832"/>
      <c r="D30" s="833"/>
      <c r="E30" s="883" t="s">
        <v>393</v>
      </c>
      <c r="F30" s="883"/>
      <c r="G30" s="883"/>
      <c r="H30" s="883"/>
      <c r="I30" s="862" t="s">
        <v>329</v>
      </c>
      <c r="J30" s="863"/>
      <c r="K30" s="863"/>
      <c r="L30" s="863"/>
      <c r="M30" s="864"/>
      <c r="N30" s="883" t="s">
        <v>393</v>
      </c>
      <c r="O30" s="883"/>
      <c r="P30" s="883"/>
      <c r="Q30" s="883"/>
    </row>
    <row r="31" spans="1:26" s="1" customFormat="1" ht="37.5" customHeight="1">
      <c r="A31" s="831" t="s">
        <v>220</v>
      </c>
      <c r="B31" s="832"/>
      <c r="C31" s="832"/>
      <c r="D31" s="833"/>
      <c r="E31" s="831" t="s">
        <v>393</v>
      </c>
      <c r="F31" s="832"/>
      <c r="G31" s="832"/>
      <c r="H31" s="833"/>
      <c r="I31" s="862" t="s">
        <v>225</v>
      </c>
      <c r="J31" s="863"/>
      <c r="K31" s="863"/>
      <c r="L31" s="863"/>
      <c r="M31" s="864"/>
      <c r="N31" s="831" t="s">
        <v>393</v>
      </c>
      <c r="O31" s="832"/>
      <c r="P31" s="832"/>
      <c r="Q31" s="833"/>
    </row>
    <row r="32" spans="1:26" s="1" customFormat="1" ht="37.5" customHeight="1">
      <c r="A32" s="831" t="s">
        <v>221</v>
      </c>
      <c r="B32" s="832"/>
      <c r="C32" s="832"/>
      <c r="D32" s="833"/>
      <c r="E32" s="831" t="s">
        <v>393</v>
      </c>
      <c r="F32" s="832"/>
      <c r="G32" s="832"/>
      <c r="H32" s="833"/>
      <c r="I32" s="862" t="s">
        <v>366</v>
      </c>
      <c r="J32" s="863"/>
      <c r="K32" s="863"/>
      <c r="L32" s="863"/>
      <c r="M32" s="864"/>
      <c r="N32" s="831" t="s">
        <v>393</v>
      </c>
      <c r="O32" s="832"/>
      <c r="P32" s="832"/>
      <c r="Q32" s="833"/>
    </row>
    <row r="33" spans="1:17" s="1" customFormat="1" ht="38.25" customHeight="1">
      <c r="A33" s="831" t="s">
        <v>223</v>
      </c>
      <c r="B33" s="832"/>
      <c r="C33" s="832"/>
      <c r="D33" s="833"/>
      <c r="E33" s="831" t="s">
        <v>393</v>
      </c>
      <c r="F33" s="832"/>
      <c r="G33" s="832"/>
      <c r="H33" s="833"/>
      <c r="I33" s="862" t="s">
        <v>367</v>
      </c>
      <c r="J33" s="863"/>
      <c r="K33" s="863"/>
      <c r="L33" s="863"/>
      <c r="M33" s="864"/>
      <c r="N33" s="831" t="s">
        <v>393</v>
      </c>
      <c r="O33" s="832"/>
      <c r="P33" s="832"/>
      <c r="Q33" s="833"/>
    </row>
    <row r="34" spans="1:17" s="1" customFormat="1" ht="39.75" customHeight="1">
      <c r="A34" s="831" t="s">
        <v>327</v>
      </c>
      <c r="B34" s="832"/>
      <c r="C34" s="832"/>
      <c r="D34" s="833"/>
      <c r="E34" s="831" t="s">
        <v>393</v>
      </c>
      <c r="F34" s="832"/>
      <c r="G34" s="832"/>
      <c r="H34" s="833"/>
      <c r="I34" s="862" t="s">
        <v>226</v>
      </c>
      <c r="J34" s="863"/>
      <c r="K34" s="863"/>
      <c r="L34" s="863"/>
      <c r="M34" s="864"/>
      <c r="N34" s="831" t="s">
        <v>393</v>
      </c>
      <c r="O34" s="832"/>
      <c r="P34" s="832"/>
      <c r="Q34" s="833"/>
    </row>
    <row r="35" spans="1:17" ht="44.25" customHeight="1">
      <c r="A35" s="831" t="s">
        <v>224</v>
      </c>
      <c r="B35" s="832"/>
      <c r="C35" s="832"/>
      <c r="D35" s="833"/>
      <c r="E35" s="831" t="s">
        <v>393</v>
      </c>
      <c r="F35" s="832"/>
      <c r="G35" s="832"/>
      <c r="H35" s="833"/>
      <c r="I35" s="862" t="s">
        <v>227</v>
      </c>
      <c r="J35" s="863"/>
      <c r="K35" s="863"/>
      <c r="L35" s="863"/>
      <c r="M35" s="864"/>
      <c r="N35" s="831" t="s">
        <v>393</v>
      </c>
      <c r="O35" s="832"/>
      <c r="P35" s="832"/>
      <c r="Q35" s="833"/>
    </row>
    <row r="36" spans="1:17" s="3" customFormat="1" ht="18" customHeight="1">
      <c r="A36" s="877" t="s">
        <v>318</v>
      </c>
      <c r="B36" s="770"/>
      <c r="C36" s="770"/>
      <c r="D36" s="770"/>
      <c r="E36" s="770"/>
      <c r="F36" s="770"/>
      <c r="G36" s="770"/>
      <c r="H36" s="770"/>
      <c r="I36" s="770"/>
      <c r="J36" s="770"/>
      <c r="K36" s="770"/>
      <c r="L36" s="770"/>
      <c r="M36" s="770"/>
      <c r="N36" s="770"/>
      <c r="O36" s="770"/>
      <c r="P36" s="770"/>
      <c r="Q36" s="770"/>
    </row>
    <row r="37" spans="1:17" ht="14.5" customHeight="1">
      <c r="A37" s="830" t="s">
        <v>36</v>
      </c>
      <c r="B37" s="830"/>
      <c r="C37" s="830"/>
      <c r="D37" s="830"/>
      <c r="E37" s="830"/>
      <c r="F37" s="830"/>
      <c r="G37" s="830"/>
      <c r="H37" s="830"/>
      <c r="I37" s="830"/>
      <c r="J37" s="830"/>
      <c r="K37" s="830"/>
      <c r="L37" s="830"/>
      <c r="M37" s="830"/>
      <c r="N37" s="830"/>
      <c r="O37" s="830"/>
      <c r="P37" s="830"/>
      <c r="Q37" s="830"/>
    </row>
    <row r="38" spans="1:17" ht="16.5" customHeight="1">
      <c r="A38" s="860" t="s">
        <v>252</v>
      </c>
      <c r="B38" s="860"/>
      <c r="C38" s="860"/>
      <c r="D38" s="860"/>
      <c r="E38" s="860"/>
      <c r="F38" s="860"/>
      <c r="G38" s="860"/>
      <c r="H38" s="860"/>
      <c r="I38" s="860"/>
      <c r="J38" s="860"/>
      <c r="K38" s="860"/>
      <c r="L38" s="860"/>
      <c r="M38" s="860"/>
      <c r="N38" s="860"/>
      <c r="O38" s="860"/>
      <c r="P38" s="860"/>
      <c r="Q38" s="860"/>
    </row>
    <row r="39" spans="1:17" ht="27.75" customHeight="1">
      <c r="A39" s="887" t="s">
        <v>37</v>
      </c>
      <c r="B39" s="887"/>
      <c r="C39" s="887"/>
      <c r="D39" s="887"/>
      <c r="E39" s="887"/>
      <c r="F39" s="887"/>
      <c r="G39" s="887"/>
      <c r="H39" s="887"/>
      <c r="I39" s="887"/>
      <c r="J39" s="887"/>
      <c r="K39" s="887"/>
      <c r="L39" s="887"/>
      <c r="M39" s="887"/>
      <c r="N39" s="887"/>
      <c r="O39" s="887"/>
      <c r="P39" s="887"/>
      <c r="Q39" s="887"/>
    </row>
    <row r="40" spans="1:17" ht="22" customHeight="1">
      <c r="A40" s="803" t="s">
        <v>38</v>
      </c>
      <c r="B40" s="803"/>
      <c r="C40" s="803"/>
      <c r="D40" s="803"/>
      <c r="E40" s="803" t="s">
        <v>39</v>
      </c>
      <c r="F40" s="803"/>
      <c r="G40" s="803"/>
      <c r="H40" s="803"/>
      <c r="I40" s="803"/>
      <c r="J40" s="803"/>
      <c r="K40" s="803" t="s">
        <v>40</v>
      </c>
      <c r="L40" s="803"/>
      <c r="M40" s="803"/>
      <c r="N40" s="803" t="s">
        <v>44</v>
      </c>
      <c r="O40" s="803"/>
      <c r="P40" s="803"/>
      <c r="Q40" s="803"/>
    </row>
    <row r="41" spans="1:17" ht="22" customHeight="1">
      <c r="A41" s="774" t="s">
        <v>228</v>
      </c>
      <c r="B41" s="774"/>
      <c r="C41" s="774"/>
      <c r="D41" s="774"/>
      <c r="E41" s="774" t="s">
        <v>41</v>
      </c>
      <c r="F41" s="774"/>
      <c r="G41" s="774"/>
      <c r="H41" s="774"/>
      <c r="I41" s="774"/>
      <c r="J41" s="774"/>
      <c r="K41" s="774" t="s">
        <v>96</v>
      </c>
      <c r="L41" s="774"/>
      <c r="M41" s="774"/>
      <c r="N41" s="774" t="s">
        <v>393</v>
      </c>
      <c r="O41" s="774"/>
      <c r="P41" s="774"/>
      <c r="Q41" s="774"/>
    </row>
    <row r="42" spans="1:17" ht="22" customHeight="1">
      <c r="A42" s="774" t="s">
        <v>229</v>
      </c>
      <c r="B42" s="774"/>
      <c r="C42" s="774"/>
      <c r="D42" s="774"/>
      <c r="E42" s="774" t="s">
        <v>41</v>
      </c>
      <c r="F42" s="774"/>
      <c r="G42" s="774"/>
      <c r="H42" s="774"/>
      <c r="I42" s="774"/>
      <c r="J42" s="774"/>
      <c r="K42" s="774" t="s">
        <v>96</v>
      </c>
      <c r="L42" s="774"/>
      <c r="M42" s="774"/>
      <c r="N42" s="774" t="s">
        <v>393</v>
      </c>
      <c r="O42" s="774"/>
      <c r="P42" s="774"/>
      <c r="Q42" s="774"/>
    </row>
    <row r="43" spans="1:17" ht="22" customHeight="1">
      <c r="A43" s="774" t="s">
        <v>230</v>
      </c>
      <c r="B43" s="774"/>
      <c r="C43" s="774"/>
      <c r="D43" s="774"/>
      <c r="E43" s="774" t="s">
        <v>41</v>
      </c>
      <c r="F43" s="774"/>
      <c r="G43" s="774"/>
      <c r="H43" s="774"/>
      <c r="I43" s="774"/>
      <c r="J43" s="774"/>
      <c r="K43" s="774" t="s">
        <v>96</v>
      </c>
      <c r="L43" s="774"/>
      <c r="M43" s="774"/>
      <c r="N43" s="774" t="s">
        <v>393</v>
      </c>
      <c r="O43" s="774"/>
      <c r="P43" s="774"/>
      <c r="Q43" s="774"/>
    </row>
    <row r="44" spans="1:17" ht="22" customHeight="1">
      <c r="A44" s="774" t="s">
        <v>231</v>
      </c>
      <c r="B44" s="774"/>
      <c r="C44" s="774"/>
      <c r="D44" s="774"/>
      <c r="E44" s="774" t="s">
        <v>41</v>
      </c>
      <c r="F44" s="774"/>
      <c r="G44" s="774"/>
      <c r="H44" s="774"/>
      <c r="I44" s="774"/>
      <c r="J44" s="774"/>
      <c r="K44" s="774" t="s">
        <v>96</v>
      </c>
      <c r="L44" s="774"/>
      <c r="M44" s="774"/>
      <c r="N44" s="774" t="s">
        <v>393</v>
      </c>
      <c r="O44" s="774"/>
      <c r="P44" s="774"/>
      <c r="Q44" s="774"/>
    </row>
    <row r="45" spans="1:17" ht="22" customHeight="1">
      <c r="A45" s="774" t="s">
        <v>232</v>
      </c>
      <c r="B45" s="774"/>
      <c r="C45" s="774"/>
      <c r="D45" s="774"/>
      <c r="E45" s="774" t="s">
        <v>41</v>
      </c>
      <c r="F45" s="774"/>
      <c r="G45" s="774"/>
      <c r="H45" s="774"/>
      <c r="I45" s="774"/>
      <c r="J45" s="774"/>
      <c r="K45" s="774" t="s">
        <v>96</v>
      </c>
      <c r="L45" s="774"/>
      <c r="M45" s="774"/>
      <c r="N45" s="774" t="s">
        <v>393</v>
      </c>
      <c r="O45" s="774"/>
      <c r="P45" s="774"/>
      <c r="Q45" s="774"/>
    </row>
    <row r="46" spans="1:17" ht="22" customHeight="1">
      <c r="A46" s="774" t="s">
        <v>193</v>
      </c>
      <c r="B46" s="774"/>
      <c r="C46" s="774"/>
      <c r="D46" s="774"/>
      <c r="E46" s="774" t="s">
        <v>42</v>
      </c>
      <c r="F46" s="774"/>
      <c r="G46" s="774"/>
      <c r="H46" s="774"/>
      <c r="I46" s="774"/>
      <c r="J46" s="774"/>
      <c r="K46" s="774" t="s">
        <v>96</v>
      </c>
      <c r="L46" s="774"/>
      <c r="M46" s="774"/>
      <c r="N46" s="774" t="s">
        <v>393</v>
      </c>
      <c r="O46" s="774"/>
      <c r="P46" s="774"/>
      <c r="Q46" s="774"/>
    </row>
    <row r="47" spans="1:17" ht="22" customHeight="1">
      <c r="A47" s="774" t="s">
        <v>194</v>
      </c>
      <c r="B47" s="774"/>
      <c r="C47" s="774"/>
      <c r="D47" s="774"/>
      <c r="E47" s="774" t="s">
        <v>260</v>
      </c>
      <c r="F47" s="774"/>
      <c r="G47" s="774"/>
      <c r="H47" s="774"/>
      <c r="I47" s="774"/>
      <c r="J47" s="774"/>
      <c r="K47" s="774" t="s">
        <v>96</v>
      </c>
      <c r="L47" s="774"/>
      <c r="M47" s="774"/>
      <c r="N47" s="774" t="s">
        <v>393</v>
      </c>
      <c r="O47" s="774"/>
      <c r="P47" s="774"/>
      <c r="Q47" s="774"/>
    </row>
    <row r="48" spans="1:17" ht="22" customHeight="1">
      <c r="A48" s="774" t="s">
        <v>195</v>
      </c>
      <c r="B48" s="774"/>
      <c r="C48" s="774"/>
      <c r="D48" s="774"/>
      <c r="E48" s="774" t="s">
        <v>260</v>
      </c>
      <c r="F48" s="774"/>
      <c r="G48" s="774"/>
      <c r="H48" s="774"/>
      <c r="I48" s="774"/>
      <c r="J48" s="774"/>
      <c r="K48" s="774" t="s">
        <v>96</v>
      </c>
      <c r="L48" s="774"/>
      <c r="M48" s="774"/>
      <c r="N48" s="774" t="s">
        <v>393</v>
      </c>
      <c r="O48" s="774"/>
      <c r="P48" s="774"/>
      <c r="Q48" s="774"/>
    </row>
    <row r="49" spans="1:17" ht="22" customHeight="1">
      <c r="A49" s="774" t="s">
        <v>264</v>
      </c>
      <c r="B49" s="774"/>
      <c r="C49" s="774"/>
      <c r="D49" s="774"/>
      <c r="E49" s="774" t="s">
        <v>271</v>
      </c>
      <c r="F49" s="774"/>
      <c r="G49" s="774"/>
      <c r="H49" s="774"/>
      <c r="I49" s="774"/>
      <c r="J49" s="774"/>
      <c r="K49" s="774" t="s">
        <v>96</v>
      </c>
      <c r="L49" s="774"/>
      <c r="M49" s="774"/>
      <c r="N49" s="774" t="s">
        <v>393</v>
      </c>
      <c r="O49" s="774"/>
      <c r="P49" s="774"/>
      <c r="Q49" s="774"/>
    </row>
    <row r="50" spans="1:17" ht="22" customHeight="1">
      <c r="A50" s="774" t="s">
        <v>196</v>
      </c>
      <c r="B50" s="774"/>
      <c r="C50" s="774"/>
      <c r="D50" s="774"/>
      <c r="E50" s="774" t="s">
        <v>43</v>
      </c>
      <c r="F50" s="774"/>
      <c r="G50" s="774"/>
      <c r="H50" s="774"/>
      <c r="I50" s="774"/>
      <c r="J50" s="774"/>
      <c r="K50" s="774" t="s">
        <v>96</v>
      </c>
      <c r="L50" s="774"/>
      <c r="M50" s="774"/>
      <c r="N50" s="774" t="s">
        <v>393</v>
      </c>
      <c r="O50" s="774"/>
      <c r="P50" s="774"/>
      <c r="Q50" s="774"/>
    </row>
    <row r="51" spans="1:17" ht="22" customHeight="1">
      <c r="A51" s="774" t="s">
        <v>330</v>
      </c>
      <c r="B51" s="774"/>
      <c r="C51" s="774"/>
      <c r="D51" s="774"/>
      <c r="E51" s="774" t="s">
        <v>233</v>
      </c>
      <c r="F51" s="774"/>
      <c r="G51" s="774"/>
      <c r="H51" s="774"/>
      <c r="I51" s="774"/>
      <c r="J51" s="774"/>
      <c r="K51" s="774" t="s">
        <v>96</v>
      </c>
      <c r="L51" s="774"/>
      <c r="M51" s="774"/>
      <c r="N51" s="774" t="s">
        <v>393</v>
      </c>
      <c r="O51" s="774"/>
      <c r="P51" s="774"/>
      <c r="Q51" s="774"/>
    </row>
    <row r="52" spans="1:17" ht="21.75" customHeight="1">
      <c r="A52" s="774" t="s">
        <v>331</v>
      </c>
      <c r="B52" s="774"/>
      <c r="C52" s="774"/>
      <c r="D52" s="774"/>
      <c r="E52" s="774" t="s">
        <v>234</v>
      </c>
      <c r="F52" s="774"/>
      <c r="G52" s="774"/>
      <c r="H52" s="774"/>
      <c r="I52" s="774"/>
      <c r="J52" s="774"/>
      <c r="K52" s="774" t="s">
        <v>96</v>
      </c>
      <c r="L52" s="774"/>
      <c r="M52" s="774"/>
      <c r="N52" s="774" t="s">
        <v>393</v>
      </c>
      <c r="O52" s="774"/>
      <c r="P52" s="774"/>
      <c r="Q52" s="774"/>
    </row>
    <row r="53" spans="1:17" s="3" customFormat="1" ht="24" customHeight="1">
      <c r="A53" s="784" t="s">
        <v>319</v>
      </c>
      <c r="B53" s="785"/>
      <c r="C53" s="785"/>
      <c r="D53" s="785"/>
      <c r="E53" s="785"/>
      <c r="F53" s="785"/>
      <c r="G53" s="785"/>
      <c r="H53" s="785"/>
      <c r="I53" s="785"/>
      <c r="J53" s="785"/>
      <c r="K53" s="785"/>
      <c r="L53" s="785"/>
      <c r="M53" s="785"/>
      <c r="N53" s="785"/>
      <c r="O53" s="785"/>
      <c r="P53" s="785"/>
      <c r="Q53" s="786"/>
    </row>
    <row r="54" spans="1:17" s="3" customFormat="1" ht="24" customHeight="1">
      <c r="A54" s="787"/>
      <c r="B54" s="788"/>
      <c r="C54" s="788"/>
      <c r="D54" s="788"/>
      <c r="E54" s="788"/>
      <c r="F54" s="788"/>
      <c r="G54" s="788"/>
      <c r="H54" s="788"/>
      <c r="I54" s="788"/>
      <c r="J54" s="788"/>
      <c r="K54" s="788"/>
      <c r="L54" s="788"/>
      <c r="M54" s="788"/>
      <c r="N54" s="788"/>
      <c r="O54" s="788"/>
      <c r="P54" s="788"/>
      <c r="Q54" s="789"/>
    </row>
    <row r="55" spans="1:17" ht="14.5" customHeight="1">
      <c r="A55" s="859" t="s">
        <v>45</v>
      </c>
      <c r="B55" s="859"/>
      <c r="C55" s="859"/>
      <c r="D55" s="859"/>
      <c r="E55" s="859"/>
      <c r="F55" s="859"/>
      <c r="G55" s="859"/>
      <c r="H55" s="859"/>
      <c r="I55" s="859"/>
      <c r="J55" s="859"/>
      <c r="K55" s="859"/>
      <c r="L55" s="859"/>
      <c r="M55" s="859"/>
      <c r="N55" s="859"/>
      <c r="O55" s="859"/>
      <c r="P55" s="859"/>
      <c r="Q55" s="859"/>
    </row>
    <row r="56" spans="1:17" ht="18.75" customHeight="1">
      <c r="A56" s="860" t="s">
        <v>361</v>
      </c>
      <c r="B56" s="860"/>
      <c r="C56" s="860"/>
      <c r="D56" s="860"/>
      <c r="E56" s="860"/>
      <c r="F56" s="860"/>
      <c r="G56" s="860"/>
      <c r="H56" s="860"/>
      <c r="I56" s="860"/>
      <c r="J56" s="860"/>
      <c r="K56" s="860"/>
      <c r="L56" s="860"/>
      <c r="M56" s="860"/>
      <c r="N56" s="860"/>
      <c r="O56" s="860"/>
      <c r="P56" s="860"/>
      <c r="Q56" s="860"/>
    </row>
    <row r="57" spans="1:17" ht="27.75" customHeight="1">
      <c r="A57" s="803" t="s">
        <v>46</v>
      </c>
      <c r="B57" s="803"/>
      <c r="C57" s="803"/>
      <c r="D57" s="803"/>
      <c r="E57" s="803"/>
      <c r="F57" s="803"/>
      <c r="G57" s="803"/>
      <c r="H57" s="803"/>
      <c r="I57" s="803"/>
      <c r="J57" s="803"/>
      <c r="K57" s="803"/>
      <c r="L57" s="803"/>
      <c r="M57" s="803"/>
      <c r="N57" s="803"/>
      <c r="O57" s="803"/>
      <c r="P57" s="803"/>
      <c r="Q57" s="803"/>
    </row>
    <row r="58" spans="1:17" ht="19.149999999999999" customHeight="1">
      <c r="A58" s="827" t="s">
        <v>18</v>
      </c>
      <c r="B58" s="827"/>
      <c r="C58" s="827"/>
      <c r="D58" s="827"/>
      <c r="E58" s="827" t="s">
        <v>47</v>
      </c>
      <c r="F58" s="827"/>
      <c r="G58" s="827"/>
      <c r="H58" s="827"/>
      <c r="I58" s="827"/>
      <c r="J58" s="827"/>
      <c r="K58" s="827" t="s">
        <v>20</v>
      </c>
      <c r="L58" s="827"/>
      <c r="M58" s="827"/>
      <c r="N58" s="827" t="s">
        <v>6</v>
      </c>
      <c r="O58" s="827"/>
      <c r="P58" s="827"/>
      <c r="Q58" s="827"/>
    </row>
    <row r="59" spans="1:17" s="1" customFormat="1" ht="19.149999999999999" customHeight="1">
      <c r="A59" s="892" t="s">
        <v>380</v>
      </c>
      <c r="B59" s="892"/>
      <c r="C59" s="892"/>
      <c r="D59" s="892"/>
      <c r="E59" s="891" t="s">
        <v>307</v>
      </c>
      <c r="F59" s="891"/>
      <c r="G59" s="891"/>
      <c r="H59" s="891"/>
      <c r="I59" s="891"/>
      <c r="J59" s="891"/>
      <c r="K59" s="714" t="s">
        <v>96</v>
      </c>
      <c r="L59" s="714"/>
      <c r="M59" s="714"/>
      <c r="N59" s="861" t="s">
        <v>393</v>
      </c>
      <c r="O59" s="861"/>
      <c r="P59" s="861"/>
      <c r="Q59" s="861"/>
    </row>
    <row r="60" spans="1:17" s="1" customFormat="1" ht="19.149999999999999" customHeight="1">
      <c r="A60" s="862" t="s">
        <v>308</v>
      </c>
      <c r="B60" s="863"/>
      <c r="C60" s="863"/>
      <c r="D60" s="864"/>
      <c r="E60" s="865" t="s">
        <v>309</v>
      </c>
      <c r="F60" s="866"/>
      <c r="G60" s="866"/>
      <c r="H60" s="866"/>
      <c r="I60" s="866"/>
      <c r="J60" s="867"/>
      <c r="K60" s="716" t="s">
        <v>96</v>
      </c>
      <c r="L60" s="718"/>
      <c r="M60" s="717"/>
      <c r="N60" s="868" t="s">
        <v>393</v>
      </c>
      <c r="O60" s="869"/>
      <c r="P60" s="869"/>
      <c r="Q60" s="870"/>
    </row>
    <row r="61" spans="1:17" ht="19.149999999999999" customHeight="1">
      <c r="A61" s="862" t="s">
        <v>310</v>
      </c>
      <c r="B61" s="863"/>
      <c r="C61" s="863"/>
      <c r="D61" s="864"/>
      <c r="E61" s="865" t="s">
        <v>311</v>
      </c>
      <c r="F61" s="866"/>
      <c r="G61" s="866"/>
      <c r="H61" s="866"/>
      <c r="I61" s="866"/>
      <c r="J61" s="867"/>
      <c r="K61" s="716" t="s">
        <v>96</v>
      </c>
      <c r="L61" s="718"/>
      <c r="M61" s="717"/>
      <c r="N61" s="868" t="s">
        <v>393</v>
      </c>
      <c r="O61" s="869"/>
      <c r="P61" s="869"/>
      <c r="Q61" s="870"/>
    </row>
    <row r="62" spans="1:17" ht="19.149999999999999" customHeight="1">
      <c r="A62" s="893" t="s">
        <v>241</v>
      </c>
      <c r="B62" s="893"/>
      <c r="C62" s="893"/>
      <c r="D62" s="893"/>
      <c r="E62" s="888" t="s">
        <v>312</v>
      </c>
      <c r="F62" s="888"/>
      <c r="G62" s="888"/>
      <c r="H62" s="888"/>
      <c r="I62" s="888"/>
      <c r="J62" s="888"/>
      <c r="K62" s="714" t="s">
        <v>96</v>
      </c>
      <c r="L62" s="714"/>
      <c r="M62" s="714"/>
      <c r="N62" s="861" t="s">
        <v>393</v>
      </c>
      <c r="O62" s="861"/>
      <c r="P62" s="861"/>
      <c r="Q62" s="861"/>
    </row>
    <row r="63" spans="1:17" ht="19.149999999999999" customHeight="1">
      <c r="A63" s="770" t="s">
        <v>313</v>
      </c>
      <c r="B63" s="770"/>
      <c r="C63" s="770"/>
      <c r="D63" s="770"/>
      <c r="E63" s="889" t="s">
        <v>314</v>
      </c>
      <c r="F63" s="889"/>
      <c r="G63" s="889"/>
      <c r="H63" s="889"/>
      <c r="I63" s="889"/>
      <c r="J63" s="889"/>
      <c r="K63" s="714" t="s">
        <v>96</v>
      </c>
      <c r="L63" s="714"/>
      <c r="M63" s="714"/>
      <c r="N63" s="861" t="s">
        <v>393</v>
      </c>
      <c r="O63" s="861"/>
      <c r="P63" s="861"/>
      <c r="Q63" s="861"/>
    </row>
    <row r="64" spans="1:17" s="1" customFormat="1" ht="19.149999999999999" customHeight="1">
      <c r="A64" s="770" t="s">
        <v>383</v>
      </c>
      <c r="B64" s="770"/>
      <c r="C64" s="770"/>
      <c r="D64" s="770"/>
      <c r="E64" s="890" t="s">
        <v>315</v>
      </c>
      <c r="F64" s="889"/>
      <c r="G64" s="889"/>
      <c r="H64" s="889"/>
      <c r="I64" s="889"/>
      <c r="J64" s="889"/>
      <c r="K64" s="714" t="s">
        <v>96</v>
      </c>
      <c r="L64" s="714"/>
      <c r="M64" s="714"/>
      <c r="N64" s="861" t="s">
        <v>393</v>
      </c>
      <c r="O64" s="861"/>
      <c r="P64" s="861"/>
      <c r="Q64" s="861"/>
    </row>
    <row r="65" spans="1:17" ht="19.149999999999999" customHeight="1">
      <c r="A65" s="770" t="s">
        <v>384</v>
      </c>
      <c r="B65" s="770"/>
      <c r="C65" s="770"/>
      <c r="D65" s="770"/>
      <c r="E65" s="890" t="s">
        <v>315</v>
      </c>
      <c r="F65" s="889"/>
      <c r="G65" s="889"/>
      <c r="H65" s="889"/>
      <c r="I65" s="889"/>
      <c r="J65" s="889"/>
      <c r="K65" s="714" t="s">
        <v>96</v>
      </c>
      <c r="L65" s="714"/>
      <c r="M65" s="714"/>
      <c r="N65" s="861" t="s">
        <v>393</v>
      </c>
      <c r="O65" s="861"/>
      <c r="P65" s="861"/>
      <c r="Q65" s="861"/>
    </row>
    <row r="66" spans="1:17">
      <c r="A66" s="822" t="s">
        <v>319</v>
      </c>
      <c r="B66" s="822"/>
      <c r="C66" s="822"/>
      <c r="D66" s="822"/>
      <c r="E66" s="822"/>
      <c r="F66" s="822"/>
      <c r="G66" s="822"/>
      <c r="H66" s="822"/>
      <c r="I66" s="822"/>
      <c r="J66" s="822"/>
      <c r="K66" s="822"/>
      <c r="L66" s="822"/>
      <c r="M66" s="822"/>
      <c r="N66" s="822"/>
      <c r="O66" s="822"/>
      <c r="P66" s="822"/>
      <c r="Q66" s="822"/>
    </row>
    <row r="67" spans="1:17">
      <c r="A67" s="873" t="s">
        <v>48</v>
      </c>
      <c r="B67" s="873"/>
      <c r="C67" s="873"/>
      <c r="D67" s="873"/>
      <c r="E67" s="873"/>
      <c r="F67" s="873"/>
      <c r="G67" s="873"/>
      <c r="H67" s="873"/>
      <c r="I67" s="873"/>
      <c r="J67" s="873"/>
      <c r="K67" s="873"/>
      <c r="L67" s="873"/>
      <c r="M67" s="873"/>
      <c r="N67" s="873"/>
      <c r="O67" s="873"/>
      <c r="P67" s="873"/>
      <c r="Q67" s="873"/>
    </row>
    <row r="68" spans="1:17" ht="14.5" customHeight="1">
      <c r="A68" s="859" t="s">
        <v>49</v>
      </c>
      <c r="B68" s="859"/>
      <c r="C68" s="859"/>
      <c r="D68" s="859"/>
      <c r="E68" s="859"/>
      <c r="F68" s="859"/>
      <c r="G68" s="859"/>
      <c r="H68" s="859"/>
      <c r="I68" s="859"/>
      <c r="J68" s="859"/>
      <c r="K68" s="859"/>
      <c r="L68" s="859"/>
      <c r="M68" s="859"/>
      <c r="N68" s="859"/>
      <c r="O68" s="859"/>
      <c r="P68" s="859"/>
      <c r="Q68" s="859"/>
    </row>
    <row r="69" spans="1:17">
      <c r="A69" s="860" t="s">
        <v>362</v>
      </c>
      <c r="B69" s="860"/>
      <c r="C69" s="860"/>
      <c r="D69" s="860"/>
      <c r="E69" s="860"/>
      <c r="F69" s="860"/>
      <c r="G69" s="860"/>
      <c r="H69" s="860"/>
      <c r="I69" s="860"/>
      <c r="J69" s="860"/>
      <c r="K69" s="860"/>
      <c r="L69" s="860"/>
      <c r="M69" s="860"/>
      <c r="N69" s="860"/>
      <c r="O69" s="860"/>
      <c r="P69" s="860"/>
      <c r="Q69" s="860"/>
    </row>
    <row r="70" spans="1:17">
      <c r="A70" s="827" t="s">
        <v>198</v>
      </c>
      <c r="B70" s="827"/>
      <c r="C70" s="827"/>
      <c r="D70" s="827"/>
      <c r="E70" s="827"/>
      <c r="F70" s="827"/>
      <c r="G70" s="827"/>
      <c r="H70" s="827"/>
      <c r="I70" s="827"/>
      <c r="J70" s="827"/>
      <c r="K70" s="827"/>
      <c r="L70" s="827"/>
      <c r="M70" s="827"/>
      <c r="N70" s="827"/>
      <c r="O70" s="827"/>
      <c r="P70" s="827"/>
      <c r="Q70" s="827"/>
    </row>
    <row r="71" spans="1:17">
      <c r="A71" s="803" t="s">
        <v>50</v>
      </c>
      <c r="B71" s="803"/>
      <c r="C71" s="803"/>
      <c r="D71" s="803"/>
      <c r="E71" s="803"/>
      <c r="F71" s="803"/>
      <c r="G71" s="803"/>
      <c r="H71" s="803"/>
      <c r="I71" s="843" t="s">
        <v>51</v>
      </c>
      <c r="J71" s="844"/>
      <c r="K71" s="845"/>
      <c r="L71" s="803" t="s">
        <v>52</v>
      </c>
      <c r="M71" s="803"/>
      <c r="N71" s="803" t="s">
        <v>6</v>
      </c>
      <c r="O71" s="803"/>
      <c r="P71" s="803"/>
      <c r="Q71" s="803"/>
    </row>
    <row r="72" spans="1:17">
      <c r="A72" s="770" t="s">
        <v>211</v>
      </c>
      <c r="B72" s="770"/>
      <c r="C72" s="770"/>
      <c r="D72" s="770"/>
      <c r="E72" s="770"/>
      <c r="F72" s="770"/>
      <c r="G72" s="770"/>
      <c r="H72" s="770"/>
      <c r="I72" s="771" t="s">
        <v>394</v>
      </c>
      <c r="J72" s="772"/>
      <c r="K72" s="773"/>
      <c r="L72" s="774"/>
      <c r="M72" s="774"/>
      <c r="N72" s="774"/>
      <c r="O72" s="774"/>
      <c r="P72" s="774"/>
      <c r="Q72" s="774"/>
    </row>
    <row r="73" spans="1:17">
      <c r="A73" s="770" t="s">
        <v>212</v>
      </c>
      <c r="B73" s="770"/>
      <c r="C73" s="770"/>
      <c r="D73" s="770"/>
      <c r="E73" s="770"/>
      <c r="F73" s="770"/>
      <c r="G73" s="770"/>
      <c r="H73" s="770"/>
      <c r="I73" s="771" t="s">
        <v>395</v>
      </c>
      <c r="J73" s="772"/>
      <c r="K73" s="773"/>
      <c r="L73" s="774"/>
      <c r="M73" s="774"/>
      <c r="N73" s="774"/>
      <c r="O73" s="774"/>
      <c r="P73" s="774"/>
      <c r="Q73" s="774"/>
    </row>
    <row r="74" spans="1:17" s="1" customFormat="1">
      <c r="A74" s="770" t="s">
        <v>202</v>
      </c>
      <c r="B74" s="770"/>
      <c r="C74" s="770"/>
      <c r="D74" s="770"/>
      <c r="E74" s="770"/>
      <c r="F74" s="770"/>
      <c r="G74" s="770"/>
      <c r="H74" s="770"/>
      <c r="I74" s="771" t="s">
        <v>396</v>
      </c>
      <c r="J74" s="772"/>
      <c r="K74" s="773"/>
      <c r="L74" s="774"/>
      <c r="M74" s="774"/>
      <c r="N74" s="774"/>
      <c r="O74" s="774"/>
      <c r="P74" s="774"/>
      <c r="Q74" s="774"/>
    </row>
    <row r="75" spans="1:17" s="1" customFormat="1">
      <c r="A75" s="770" t="s">
        <v>201</v>
      </c>
      <c r="B75" s="770"/>
      <c r="C75" s="770"/>
      <c r="D75" s="770"/>
      <c r="E75" s="770"/>
      <c r="F75" s="770"/>
      <c r="G75" s="770"/>
      <c r="H75" s="770"/>
      <c r="I75" s="771" t="s">
        <v>397</v>
      </c>
      <c r="J75" s="772"/>
      <c r="K75" s="773"/>
      <c r="L75" s="774"/>
      <c r="M75" s="774"/>
      <c r="N75" s="774"/>
      <c r="O75" s="774"/>
      <c r="P75" s="774"/>
      <c r="Q75" s="774"/>
    </row>
    <row r="76" spans="1:17" s="1" customFormat="1" ht="14.25" customHeight="1">
      <c r="A76" s="770" t="s">
        <v>200</v>
      </c>
      <c r="B76" s="770"/>
      <c r="C76" s="770"/>
      <c r="D76" s="770"/>
      <c r="E76" s="770"/>
      <c r="F76" s="770"/>
      <c r="G76" s="770"/>
      <c r="H76" s="770"/>
      <c r="I76" s="771" t="s">
        <v>398</v>
      </c>
      <c r="J76" s="772"/>
      <c r="K76" s="773"/>
      <c r="L76" s="774"/>
      <c r="M76" s="774"/>
      <c r="N76" s="774"/>
      <c r="O76" s="774"/>
      <c r="P76" s="774"/>
      <c r="Q76" s="774"/>
    </row>
    <row r="77" spans="1:17" s="1" customFormat="1" ht="14.25" customHeight="1">
      <c r="A77" s="770" t="s">
        <v>339</v>
      </c>
      <c r="B77" s="770"/>
      <c r="C77" s="770"/>
      <c r="D77" s="770"/>
      <c r="E77" s="770"/>
      <c r="F77" s="770"/>
      <c r="G77" s="770"/>
      <c r="H77" s="770"/>
      <c r="I77" s="771" t="s">
        <v>399</v>
      </c>
      <c r="J77" s="772"/>
      <c r="K77" s="773"/>
      <c r="L77" s="774"/>
      <c r="M77" s="774"/>
      <c r="N77" s="774"/>
      <c r="O77" s="774"/>
      <c r="P77" s="774"/>
      <c r="Q77" s="774"/>
    </row>
    <row r="78" spans="1:17" s="1" customFormat="1">
      <c r="A78" s="827" t="s">
        <v>199</v>
      </c>
      <c r="B78" s="827"/>
      <c r="C78" s="827"/>
      <c r="D78" s="827"/>
      <c r="E78" s="827"/>
      <c r="F78" s="827"/>
      <c r="G78" s="827"/>
      <c r="H78" s="827"/>
      <c r="I78" s="827"/>
      <c r="J78" s="827"/>
      <c r="K78" s="827"/>
      <c r="L78" s="827"/>
      <c r="M78" s="827"/>
      <c r="N78" s="827"/>
      <c r="O78" s="827"/>
      <c r="P78" s="827"/>
      <c r="Q78" s="827"/>
    </row>
    <row r="79" spans="1:17" s="1" customFormat="1">
      <c r="A79" s="803" t="s">
        <v>50</v>
      </c>
      <c r="B79" s="803"/>
      <c r="C79" s="803"/>
      <c r="D79" s="803"/>
      <c r="E79" s="803"/>
      <c r="F79" s="803"/>
      <c r="G79" s="803"/>
      <c r="H79" s="803"/>
      <c r="I79" s="843" t="s">
        <v>51</v>
      </c>
      <c r="J79" s="844"/>
      <c r="K79" s="845"/>
      <c r="L79" s="803" t="s">
        <v>52</v>
      </c>
      <c r="M79" s="803"/>
      <c r="N79" s="803" t="s">
        <v>6</v>
      </c>
      <c r="O79" s="803"/>
      <c r="P79" s="803"/>
      <c r="Q79" s="803"/>
    </row>
    <row r="80" spans="1:17" s="1" customFormat="1">
      <c r="A80" s="770" t="s">
        <v>211</v>
      </c>
      <c r="B80" s="770"/>
      <c r="C80" s="770"/>
      <c r="D80" s="770"/>
      <c r="E80" s="770"/>
      <c r="F80" s="770"/>
      <c r="G80" s="770"/>
      <c r="H80" s="770"/>
      <c r="I80" s="771" t="s">
        <v>400</v>
      </c>
      <c r="J80" s="772"/>
      <c r="K80" s="773"/>
      <c r="L80" s="774"/>
      <c r="M80" s="774"/>
      <c r="N80" s="774"/>
      <c r="O80" s="774"/>
      <c r="P80" s="774"/>
      <c r="Q80" s="774"/>
    </row>
    <row r="81" spans="1:17" s="1" customFormat="1">
      <c r="A81" s="770" t="s">
        <v>212</v>
      </c>
      <c r="B81" s="770"/>
      <c r="C81" s="770"/>
      <c r="D81" s="770"/>
      <c r="E81" s="770"/>
      <c r="F81" s="770"/>
      <c r="G81" s="770"/>
      <c r="H81" s="770"/>
      <c r="I81" s="771" t="s">
        <v>401</v>
      </c>
      <c r="J81" s="772"/>
      <c r="K81" s="773"/>
      <c r="L81" s="774"/>
      <c r="M81" s="774"/>
      <c r="N81" s="774"/>
      <c r="O81" s="774"/>
      <c r="P81" s="774"/>
      <c r="Q81" s="774"/>
    </row>
    <row r="82" spans="1:17" s="1" customFormat="1">
      <c r="A82" s="770" t="s">
        <v>202</v>
      </c>
      <c r="B82" s="770"/>
      <c r="C82" s="770"/>
      <c r="D82" s="770"/>
      <c r="E82" s="770"/>
      <c r="F82" s="770"/>
      <c r="G82" s="770"/>
      <c r="H82" s="770"/>
      <c r="I82" s="771" t="s">
        <v>402</v>
      </c>
      <c r="J82" s="772"/>
      <c r="K82" s="773"/>
      <c r="L82" s="774"/>
      <c r="M82" s="774"/>
      <c r="N82" s="774"/>
      <c r="O82" s="774"/>
      <c r="P82" s="774"/>
      <c r="Q82" s="774"/>
    </row>
    <row r="83" spans="1:17">
      <c r="A83" s="770" t="s">
        <v>201</v>
      </c>
      <c r="B83" s="770"/>
      <c r="C83" s="770"/>
      <c r="D83" s="770"/>
      <c r="E83" s="770"/>
      <c r="F83" s="770"/>
      <c r="G83" s="770"/>
      <c r="H83" s="770"/>
      <c r="I83" s="771" t="s">
        <v>403</v>
      </c>
      <c r="J83" s="772"/>
      <c r="K83" s="773"/>
      <c r="L83" s="774"/>
      <c r="M83" s="774"/>
      <c r="N83" s="774"/>
      <c r="O83" s="774"/>
      <c r="P83" s="774"/>
      <c r="Q83" s="774"/>
    </row>
    <row r="84" spans="1:17" s="1" customFormat="1" ht="14.25" customHeight="1">
      <c r="A84" s="770" t="s">
        <v>340</v>
      </c>
      <c r="B84" s="770"/>
      <c r="C84" s="770"/>
      <c r="D84" s="770"/>
      <c r="E84" s="770"/>
      <c r="F84" s="770"/>
      <c r="G84" s="770"/>
      <c r="H84" s="770"/>
      <c r="I84" s="771" t="s">
        <v>404</v>
      </c>
      <c r="J84" s="772"/>
      <c r="K84" s="773"/>
      <c r="L84" s="774"/>
      <c r="M84" s="774"/>
      <c r="N84" s="774"/>
      <c r="O84" s="774"/>
      <c r="P84" s="774"/>
      <c r="Q84" s="774"/>
    </row>
    <row r="85" spans="1:17" s="1" customFormat="1" ht="14.25" customHeight="1">
      <c r="A85" s="770" t="s">
        <v>341</v>
      </c>
      <c r="B85" s="770"/>
      <c r="C85" s="770"/>
      <c r="D85" s="770"/>
      <c r="E85" s="770"/>
      <c r="F85" s="770"/>
      <c r="G85" s="770"/>
      <c r="H85" s="770"/>
      <c r="I85" s="771" t="s">
        <v>405</v>
      </c>
      <c r="J85" s="772"/>
      <c r="K85" s="773"/>
      <c r="L85" s="774"/>
      <c r="M85" s="774"/>
      <c r="N85" s="774"/>
      <c r="O85" s="774"/>
      <c r="P85" s="774"/>
      <c r="Q85" s="774"/>
    </row>
    <row r="86" spans="1:17" s="1" customFormat="1">
      <c r="A86" s="827" t="s">
        <v>333</v>
      </c>
      <c r="B86" s="827"/>
      <c r="C86" s="827"/>
      <c r="D86" s="827"/>
      <c r="E86" s="827"/>
      <c r="F86" s="827"/>
      <c r="G86" s="827"/>
      <c r="H86" s="827"/>
      <c r="I86" s="827"/>
      <c r="J86" s="827"/>
      <c r="K86" s="827"/>
      <c r="L86" s="827"/>
      <c r="M86" s="827"/>
      <c r="N86" s="827"/>
      <c r="O86" s="827"/>
      <c r="P86" s="827"/>
      <c r="Q86" s="827"/>
    </row>
    <row r="87" spans="1:17" s="1" customFormat="1">
      <c r="A87" s="803" t="s">
        <v>50</v>
      </c>
      <c r="B87" s="803"/>
      <c r="C87" s="803"/>
      <c r="D87" s="803"/>
      <c r="E87" s="803"/>
      <c r="F87" s="803"/>
      <c r="G87" s="803"/>
      <c r="H87" s="803"/>
      <c r="I87" s="843" t="s">
        <v>51</v>
      </c>
      <c r="J87" s="844"/>
      <c r="K87" s="845"/>
      <c r="L87" s="803" t="s">
        <v>52</v>
      </c>
      <c r="M87" s="803"/>
      <c r="N87" s="803" t="s">
        <v>6</v>
      </c>
      <c r="O87" s="803"/>
      <c r="P87" s="803"/>
      <c r="Q87" s="803"/>
    </row>
    <row r="88" spans="1:17" s="1" customFormat="1">
      <c r="A88" s="770" t="s">
        <v>334</v>
      </c>
      <c r="B88" s="770"/>
      <c r="C88" s="770"/>
      <c r="D88" s="770"/>
      <c r="E88" s="770"/>
      <c r="F88" s="770"/>
      <c r="G88" s="770"/>
      <c r="H88" s="770"/>
      <c r="I88" s="771" t="s">
        <v>406</v>
      </c>
      <c r="J88" s="772"/>
      <c r="K88" s="773"/>
      <c r="L88" s="774"/>
      <c r="M88" s="774"/>
      <c r="N88" s="774"/>
      <c r="O88" s="774"/>
      <c r="P88" s="774"/>
      <c r="Q88" s="774"/>
    </row>
    <row r="89" spans="1:17" s="1" customFormat="1" ht="14.25" customHeight="1">
      <c r="A89" s="770" t="s">
        <v>338</v>
      </c>
      <c r="B89" s="770"/>
      <c r="C89" s="770"/>
      <c r="D89" s="770"/>
      <c r="E89" s="770"/>
      <c r="F89" s="770"/>
      <c r="G89" s="770"/>
      <c r="H89" s="770"/>
      <c r="I89" s="771" t="s">
        <v>407</v>
      </c>
      <c r="J89" s="772"/>
      <c r="K89" s="773"/>
      <c r="L89" s="774"/>
      <c r="M89" s="774"/>
      <c r="N89" s="774"/>
      <c r="O89" s="774"/>
      <c r="P89" s="774"/>
      <c r="Q89" s="774"/>
    </row>
    <row r="90" spans="1:17" s="1" customFormat="1">
      <c r="A90" s="770" t="s">
        <v>335</v>
      </c>
      <c r="B90" s="770"/>
      <c r="C90" s="770"/>
      <c r="D90" s="770"/>
      <c r="E90" s="770"/>
      <c r="F90" s="770"/>
      <c r="G90" s="770"/>
      <c r="H90" s="770"/>
      <c r="I90" s="771" t="s">
        <v>408</v>
      </c>
      <c r="J90" s="772"/>
      <c r="K90" s="773"/>
      <c r="L90" s="774"/>
      <c r="M90" s="774"/>
      <c r="N90" s="774"/>
      <c r="O90" s="774"/>
      <c r="P90" s="774"/>
      <c r="Q90" s="774"/>
    </row>
    <row r="91" spans="1:17" s="1" customFormat="1">
      <c r="A91" s="770" t="s">
        <v>336</v>
      </c>
      <c r="B91" s="770"/>
      <c r="C91" s="770"/>
      <c r="D91" s="770"/>
      <c r="E91" s="770"/>
      <c r="F91" s="770"/>
      <c r="G91" s="770"/>
      <c r="H91" s="770"/>
      <c r="I91" s="771" t="s">
        <v>409</v>
      </c>
      <c r="J91" s="772"/>
      <c r="K91" s="773"/>
      <c r="L91" s="774"/>
      <c r="M91" s="774"/>
      <c r="N91" s="774"/>
      <c r="O91" s="774"/>
      <c r="P91" s="774"/>
      <c r="Q91" s="774"/>
    </row>
    <row r="92" spans="1:17" s="1" customFormat="1" ht="14.25" customHeight="1">
      <c r="A92" s="770" t="s">
        <v>342</v>
      </c>
      <c r="B92" s="770"/>
      <c r="C92" s="770"/>
      <c r="D92" s="770"/>
      <c r="E92" s="770"/>
      <c r="F92" s="770"/>
      <c r="G92" s="770"/>
      <c r="H92" s="770"/>
      <c r="I92" s="771" t="s">
        <v>410</v>
      </c>
      <c r="J92" s="772"/>
      <c r="K92" s="773"/>
      <c r="L92" s="774"/>
      <c r="M92" s="774"/>
      <c r="N92" s="774"/>
      <c r="O92" s="774"/>
      <c r="P92" s="774"/>
      <c r="Q92" s="774"/>
    </row>
    <row r="93" spans="1:17" s="1" customFormat="1" ht="14.25" customHeight="1">
      <c r="A93" s="770" t="s">
        <v>343</v>
      </c>
      <c r="B93" s="770"/>
      <c r="C93" s="770"/>
      <c r="D93" s="770"/>
      <c r="E93" s="770"/>
      <c r="F93" s="770"/>
      <c r="G93" s="770"/>
      <c r="H93" s="770"/>
      <c r="I93" s="771" t="s">
        <v>411</v>
      </c>
      <c r="J93" s="772"/>
      <c r="K93" s="773"/>
      <c r="L93" s="774"/>
      <c r="M93" s="774"/>
      <c r="N93" s="774"/>
      <c r="O93" s="774"/>
      <c r="P93" s="774"/>
      <c r="Q93" s="774"/>
    </row>
    <row r="94" spans="1:17" s="3" customFormat="1">
      <c r="A94" s="887" t="s">
        <v>337</v>
      </c>
      <c r="B94" s="887"/>
      <c r="C94" s="887"/>
      <c r="D94" s="887"/>
      <c r="E94" s="887"/>
      <c r="F94" s="887"/>
      <c r="G94" s="887"/>
      <c r="H94" s="887"/>
      <c r="I94" s="887"/>
      <c r="J94" s="887"/>
      <c r="K94" s="887"/>
      <c r="L94" s="887"/>
      <c r="M94" s="887"/>
      <c r="N94" s="887"/>
      <c r="O94" s="887"/>
      <c r="P94" s="887"/>
      <c r="Q94" s="887"/>
    </row>
    <row r="95" spans="1:17" ht="14.5">
      <c r="A95" s="878" t="s">
        <v>381</v>
      </c>
      <c r="B95" s="878"/>
      <c r="C95" s="878"/>
      <c r="D95" s="878"/>
      <c r="E95" s="878"/>
      <c r="F95" s="878"/>
      <c r="G95" s="878"/>
      <c r="H95" s="878"/>
      <c r="I95" s="878"/>
      <c r="J95" s="878"/>
      <c r="K95" s="878"/>
      <c r="L95" s="878"/>
      <c r="M95" s="878"/>
      <c r="N95" s="878"/>
      <c r="O95" s="878"/>
      <c r="P95" s="878"/>
      <c r="Q95" s="878"/>
    </row>
    <row r="96" spans="1:17" ht="24" customHeight="1">
      <c r="A96" s="879" t="s">
        <v>55</v>
      </c>
      <c r="B96" s="879"/>
      <c r="C96" s="879"/>
      <c r="D96" s="879"/>
      <c r="E96" s="879"/>
      <c r="F96" s="879"/>
      <c r="G96" s="879"/>
      <c r="H96" s="879"/>
      <c r="I96" s="879"/>
      <c r="J96" s="879"/>
      <c r="K96" s="879"/>
      <c r="L96" s="879"/>
      <c r="M96" s="879"/>
      <c r="N96" s="879"/>
      <c r="O96" s="879"/>
      <c r="P96" s="879"/>
      <c r="Q96" s="879"/>
    </row>
    <row r="97" spans="1:17" ht="34.5" customHeight="1">
      <c r="A97" s="5" t="s">
        <v>53</v>
      </c>
      <c r="B97" s="5">
        <v>1</v>
      </c>
      <c r="C97" s="5">
        <v>2</v>
      </c>
      <c r="D97" s="18">
        <v>3</v>
      </c>
      <c r="E97" s="18">
        <v>4</v>
      </c>
      <c r="F97" s="18">
        <v>5</v>
      </c>
      <c r="G97" s="18">
        <v>6</v>
      </c>
      <c r="H97" s="18">
        <v>7</v>
      </c>
      <c r="I97" s="18">
        <v>8</v>
      </c>
      <c r="J97" s="18">
        <v>9</v>
      </c>
      <c r="K97" s="18">
        <v>10</v>
      </c>
      <c r="L97" s="18">
        <v>11</v>
      </c>
      <c r="M97" s="18">
        <v>12</v>
      </c>
      <c r="N97" s="18">
        <v>13</v>
      </c>
      <c r="O97" s="18">
        <v>14</v>
      </c>
      <c r="P97" s="18">
        <v>15</v>
      </c>
      <c r="Q97" s="18">
        <v>16</v>
      </c>
    </row>
    <row r="98" spans="1:17" ht="37.5" customHeight="1">
      <c r="A98" s="4" t="s">
        <v>191</v>
      </c>
      <c r="B98" s="18">
        <v>340</v>
      </c>
      <c r="C98" s="18">
        <v>380</v>
      </c>
      <c r="D98" s="18">
        <v>412</v>
      </c>
      <c r="E98" s="18">
        <v>450</v>
      </c>
      <c r="F98" s="18">
        <v>480</v>
      </c>
      <c r="G98" s="18">
        <v>505</v>
      </c>
      <c r="H98" s="18">
        <v>546</v>
      </c>
      <c r="I98" s="18">
        <v>570</v>
      </c>
      <c r="J98" s="18">
        <v>605</v>
      </c>
      <c r="K98" s="18">
        <v>630</v>
      </c>
      <c r="L98" s="18">
        <v>660</v>
      </c>
      <c r="M98" s="18">
        <v>700</v>
      </c>
      <c r="N98" s="18">
        <v>740</v>
      </c>
      <c r="O98" s="18">
        <v>770</v>
      </c>
      <c r="P98" s="18">
        <v>800</v>
      </c>
      <c r="Q98" s="18">
        <v>850</v>
      </c>
    </row>
    <row r="99" spans="1:17" ht="40.5">
      <c r="A99" s="4" t="s">
        <v>56</v>
      </c>
      <c r="B99" s="8"/>
      <c r="C99" s="8"/>
      <c r="D99" s="8"/>
      <c r="E99" s="8"/>
      <c r="F99" s="8"/>
      <c r="G99" s="8"/>
      <c r="H99" s="8"/>
      <c r="I99" s="8"/>
      <c r="J99" s="8"/>
      <c r="K99" s="8"/>
      <c r="L99" s="8"/>
      <c r="M99" s="8"/>
      <c r="N99" s="8"/>
      <c r="O99" s="8"/>
      <c r="P99" s="8"/>
      <c r="Q99" s="8"/>
    </row>
    <row r="100" spans="1:17" ht="27">
      <c r="A100" s="4" t="s">
        <v>57</v>
      </c>
      <c r="B100" s="8"/>
      <c r="C100" s="8"/>
      <c r="D100" s="8"/>
      <c r="E100" s="8"/>
      <c r="F100" s="8"/>
      <c r="G100" s="8"/>
      <c r="H100" s="8"/>
      <c r="I100" s="8"/>
      <c r="J100" s="8"/>
      <c r="K100" s="8"/>
      <c r="L100" s="8"/>
      <c r="M100" s="8"/>
      <c r="N100" s="8"/>
      <c r="O100" s="8"/>
      <c r="P100" s="8"/>
      <c r="Q100" s="8"/>
    </row>
    <row r="101" spans="1:17" ht="18" customHeight="1">
      <c r="A101" s="971" t="s">
        <v>19</v>
      </c>
      <c r="B101" s="770" t="s">
        <v>259</v>
      </c>
      <c r="C101" s="770"/>
      <c r="D101" s="770"/>
      <c r="E101" s="770"/>
      <c r="F101" s="770"/>
      <c r="G101" s="770"/>
      <c r="H101" s="770"/>
      <c r="I101" s="770"/>
      <c r="J101" s="770"/>
      <c r="K101" s="770"/>
      <c r="L101" s="770"/>
      <c r="M101" s="770"/>
      <c r="N101" s="770"/>
      <c r="O101" s="770"/>
      <c r="P101" s="770"/>
      <c r="Q101" s="770"/>
    </row>
    <row r="102" spans="1:17" ht="21" customHeight="1">
      <c r="A102" s="972"/>
      <c r="B102" s="770" t="s">
        <v>262</v>
      </c>
      <c r="C102" s="770"/>
      <c r="D102" s="770"/>
      <c r="E102" s="770"/>
      <c r="F102" s="770"/>
      <c r="G102" s="770"/>
      <c r="H102" s="770"/>
      <c r="I102" s="770"/>
      <c r="J102" s="770"/>
      <c r="K102" s="770"/>
      <c r="L102" s="770"/>
      <c r="M102" s="770"/>
      <c r="N102" s="770"/>
      <c r="O102" s="770"/>
      <c r="P102" s="770"/>
      <c r="Q102" s="770"/>
    </row>
    <row r="103" spans="1:17">
      <c r="A103" s="7" t="s">
        <v>54</v>
      </c>
      <c r="B103" s="969" t="str">
        <f>IF(OR(COUNTIF(B99:Q99, "&lt;-200") &gt; 0, COUNTIF(B99:Q99, "&gt;200") &gt; 0, COUNTIF(B99:Q99, "") &gt; 0, COUNTIF(B100:Q100, "") &gt; 0, COUNTIF(B100:C100, "&gt;0.6") &gt; 0, COUNTIF(D100:Q100, "&gt;0.3") &gt; 0), "Fail", "Pass")</f>
        <v>Fail</v>
      </c>
      <c r="C103" s="969"/>
      <c r="D103" s="969"/>
      <c r="E103" s="969"/>
      <c r="F103" s="969"/>
      <c r="G103" s="969"/>
      <c r="H103" s="969"/>
      <c r="I103" s="969"/>
      <c r="J103" s="969"/>
      <c r="K103" s="969"/>
      <c r="L103" s="969"/>
      <c r="M103" s="969"/>
      <c r="N103" s="969"/>
      <c r="O103" s="969"/>
      <c r="P103" s="969"/>
      <c r="Q103" s="969"/>
    </row>
    <row r="104" spans="1:17">
      <c r="A104" s="879" t="s">
        <v>213</v>
      </c>
      <c r="B104" s="879"/>
      <c r="C104" s="879"/>
      <c r="D104" s="879"/>
      <c r="E104" s="879"/>
      <c r="F104" s="879"/>
      <c r="G104" s="879"/>
      <c r="H104" s="879"/>
      <c r="I104" s="879"/>
      <c r="J104" s="879"/>
      <c r="K104" s="879"/>
      <c r="L104" s="879"/>
      <c r="M104" s="879"/>
      <c r="N104" s="879"/>
      <c r="O104" s="879"/>
      <c r="P104" s="879"/>
      <c r="Q104" s="879"/>
    </row>
    <row r="105" spans="1:17" ht="47.25" customHeight="1">
      <c r="A105" s="5" t="s">
        <v>53</v>
      </c>
      <c r="B105" s="18">
        <v>1</v>
      </c>
      <c r="C105" s="18">
        <v>2</v>
      </c>
      <c r="D105" s="18">
        <v>3</v>
      </c>
      <c r="E105" s="18">
        <v>4</v>
      </c>
      <c r="F105" s="18">
        <v>5</v>
      </c>
      <c r="G105" s="18">
        <v>6</v>
      </c>
      <c r="H105" s="18">
        <v>7</v>
      </c>
      <c r="I105" s="18">
        <v>8</v>
      </c>
      <c r="J105" s="18">
        <v>9</v>
      </c>
      <c r="K105" s="18">
        <v>10</v>
      </c>
      <c r="L105" s="18">
        <v>11</v>
      </c>
      <c r="M105" s="18">
        <v>12</v>
      </c>
      <c r="N105" s="18">
        <v>13</v>
      </c>
      <c r="O105" s="18">
        <v>14</v>
      </c>
      <c r="P105" s="18">
        <v>15</v>
      </c>
      <c r="Q105" s="18">
        <v>16</v>
      </c>
    </row>
    <row r="106" spans="1:17" ht="33.75" customHeight="1">
      <c r="A106" s="4" t="s">
        <v>268</v>
      </c>
      <c r="B106" s="18">
        <v>340</v>
      </c>
      <c r="C106" s="18">
        <v>380</v>
      </c>
      <c r="D106" s="18">
        <v>412</v>
      </c>
      <c r="E106" s="18">
        <v>450</v>
      </c>
      <c r="F106" s="18">
        <v>480</v>
      </c>
      <c r="G106" s="18">
        <v>505</v>
      </c>
      <c r="H106" s="18">
        <v>546</v>
      </c>
      <c r="I106" s="18">
        <v>570</v>
      </c>
      <c r="J106" s="18">
        <v>605</v>
      </c>
      <c r="K106" s="18">
        <v>630</v>
      </c>
      <c r="L106" s="18">
        <v>660</v>
      </c>
      <c r="M106" s="18">
        <v>700</v>
      </c>
      <c r="N106" s="18">
        <v>740</v>
      </c>
      <c r="O106" s="18">
        <v>770</v>
      </c>
      <c r="P106" s="18">
        <v>800</v>
      </c>
      <c r="Q106" s="18">
        <v>850</v>
      </c>
    </row>
    <row r="107" spans="1:17" ht="40.5">
      <c r="A107" s="4" t="s">
        <v>56</v>
      </c>
      <c r="B107" s="13"/>
      <c r="C107" s="13"/>
      <c r="D107" s="13"/>
      <c r="E107" s="13"/>
      <c r="F107" s="13"/>
      <c r="G107" s="13"/>
      <c r="H107" s="13"/>
      <c r="I107" s="13"/>
      <c r="J107" s="13"/>
      <c r="K107" s="13"/>
      <c r="L107" s="13"/>
      <c r="M107" s="13"/>
      <c r="N107" s="13"/>
      <c r="O107" s="13"/>
      <c r="P107" s="13"/>
      <c r="Q107" s="13"/>
    </row>
    <row r="108" spans="1:17" ht="27">
      <c r="A108" s="4" t="s">
        <v>57</v>
      </c>
      <c r="B108" s="13"/>
      <c r="C108" s="8"/>
      <c r="D108" s="8"/>
      <c r="E108" s="8"/>
      <c r="F108" s="8"/>
      <c r="G108" s="8"/>
      <c r="H108" s="8"/>
      <c r="I108" s="8"/>
      <c r="J108" s="8"/>
      <c r="K108" s="8"/>
      <c r="L108" s="8"/>
      <c r="M108" s="8"/>
      <c r="N108" s="8"/>
      <c r="O108" s="8"/>
      <c r="P108" s="8"/>
      <c r="Q108" s="8"/>
    </row>
    <row r="109" spans="1:17" ht="22.5" customHeight="1">
      <c r="A109" s="971" t="s">
        <v>19</v>
      </c>
      <c r="B109" s="770" t="s">
        <v>259</v>
      </c>
      <c r="C109" s="770"/>
      <c r="D109" s="770"/>
      <c r="E109" s="770"/>
      <c r="F109" s="770"/>
      <c r="G109" s="770"/>
      <c r="H109" s="770"/>
      <c r="I109" s="770"/>
      <c r="J109" s="770"/>
      <c r="K109" s="770"/>
      <c r="L109" s="770"/>
      <c r="M109" s="770"/>
      <c r="N109" s="770"/>
      <c r="O109" s="770"/>
      <c r="P109" s="770"/>
      <c r="Q109" s="770"/>
    </row>
    <row r="110" spans="1:17" ht="21" customHeight="1">
      <c r="A110" s="972"/>
      <c r="B110" s="770" t="s">
        <v>263</v>
      </c>
      <c r="C110" s="770"/>
      <c r="D110" s="770"/>
      <c r="E110" s="770"/>
      <c r="F110" s="770"/>
      <c r="G110" s="770"/>
      <c r="H110" s="770"/>
      <c r="I110" s="770"/>
      <c r="J110" s="770"/>
      <c r="K110" s="770"/>
      <c r="L110" s="770"/>
      <c r="M110" s="770"/>
      <c r="N110" s="770"/>
      <c r="O110" s="770"/>
      <c r="P110" s="770"/>
      <c r="Q110" s="770"/>
    </row>
    <row r="111" spans="1:17">
      <c r="A111" s="7" t="s">
        <v>54</v>
      </c>
      <c r="B111" s="969" t="str">
        <f>IF(OR(COUNTIF(B107:Q107, "&lt;-200") &gt; 0, COUNTIF(B107:Q107, "&gt;200") &gt; 0, COUNTIF(B107:Q107, "") &gt; 0, COUNTIF(B108:Q108, "") &gt; 0, COUNTIF(B108:C108, "&gt;0.6") &gt; 0, COUNTIF(D108:Q108, "&gt;0.3") &gt; 0), "Fail", "Pass")</f>
        <v>Fail</v>
      </c>
      <c r="C111" s="969"/>
      <c r="D111" s="969"/>
      <c r="E111" s="969"/>
      <c r="F111" s="969"/>
      <c r="G111" s="969"/>
      <c r="H111" s="969"/>
      <c r="I111" s="969"/>
      <c r="J111" s="969"/>
      <c r="K111" s="969"/>
      <c r="L111" s="969"/>
      <c r="M111" s="969"/>
      <c r="N111" s="969"/>
      <c r="O111" s="969"/>
      <c r="P111" s="969"/>
      <c r="Q111" s="969"/>
    </row>
    <row r="112" spans="1:17" s="3" customFormat="1">
      <c r="A112" s="970" t="s">
        <v>344</v>
      </c>
      <c r="B112" s="970"/>
      <c r="C112" s="970"/>
      <c r="D112" s="970"/>
      <c r="E112" s="970"/>
      <c r="F112" s="970"/>
      <c r="G112" s="970"/>
      <c r="H112" s="970"/>
      <c r="I112" s="970"/>
      <c r="J112" s="970"/>
      <c r="K112" s="970"/>
      <c r="L112" s="970"/>
      <c r="M112" s="970"/>
      <c r="N112" s="970"/>
      <c r="O112" s="970"/>
      <c r="P112" s="970"/>
      <c r="Q112" s="970"/>
    </row>
    <row r="113" spans="1:17" s="3" customFormat="1" ht="14.5">
      <c r="A113" s="859" t="s">
        <v>368</v>
      </c>
      <c r="B113" s="859"/>
      <c r="C113" s="859"/>
      <c r="D113" s="859"/>
      <c r="E113" s="859"/>
      <c r="F113" s="859"/>
      <c r="G113" s="859"/>
      <c r="H113" s="859"/>
      <c r="I113" s="859"/>
      <c r="J113" s="859"/>
      <c r="K113" s="859"/>
      <c r="L113" s="859"/>
      <c r="M113" s="859"/>
      <c r="N113" s="859"/>
      <c r="O113" s="859"/>
      <c r="P113" s="859"/>
      <c r="Q113" s="859"/>
    </row>
    <row r="114" spans="1:17" s="3" customFormat="1" ht="30.75" customHeight="1">
      <c r="A114" s="793" t="s">
        <v>58</v>
      </c>
      <c r="B114" s="793"/>
      <c r="C114" s="793"/>
      <c r="D114" s="793"/>
      <c r="E114" s="793"/>
      <c r="F114" s="793"/>
      <c r="G114" s="793"/>
      <c r="H114" s="793"/>
      <c r="I114" s="793"/>
      <c r="J114" s="793"/>
      <c r="K114" s="793"/>
      <c r="L114" s="793"/>
      <c r="M114" s="793"/>
      <c r="N114" s="793"/>
      <c r="O114" s="793"/>
      <c r="P114" s="793"/>
      <c r="Q114" s="793"/>
    </row>
    <row r="115" spans="1:17" s="3" customFormat="1">
      <c r="A115" s="880" t="s">
        <v>59</v>
      </c>
      <c r="B115" s="881"/>
      <c r="C115" s="881"/>
      <c r="D115" s="881"/>
      <c r="E115" s="881"/>
      <c r="F115" s="881"/>
      <c r="G115" s="881"/>
      <c r="H115" s="881"/>
      <c r="I115" s="881"/>
      <c r="J115" s="881"/>
      <c r="K115" s="881"/>
      <c r="L115" s="881"/>
      <c r="M115" s="881"/>
      <c r="N115" s="881"/>
      <c r="O115" s="881"/>
      <c r="P115" s="881"/>
      <c r="Q115" s="882"/>
    </row>
    <row r="116" spans="1:17" s="3" customFormat="1" ht="14.5">
      <c r="A116" s="774" t="s">
        <v>60</v>
      </c>
      <c r="B116" s="774"/>
      <c r="C116" s="774"/>
      <c r="D116" s="774"/>
      <c r="E116" s="846" t="s">
        <v>61</v>
      </c>
      <c r="F116" s="846"/>
      <c r="G116" s="846"/>
      <c r="H116" s="846"/>
      <c r="I116" s="846"/>
      <c r="J116" s="846"/>
      <c r="K116" s="846"/>
      <c r="L116" s="846"/>
      <c r="M116" s="846"/>
      <c r="N116" s="846"/>
      <c r="O116" s="846"/>
      <c r="P116" s="846"/>
      <c r="Q116" s="846"/>
    </row>
    <row r="117" spans="1:17" s="3" customFormat="1" ht="14.5">
      <c r="A117" s="774"/>
      <c r="B117" s="774"/>
      <c r="C117" s="774"/>
      <c r="D117" s="774"/>
      <c r="E117" s="846" t="s">
        <v>62</v>
      </c>
      <c r="F117" s="846"/>
      <c r="G117" s="846"/>
      <c r="H117" s="846"/>
      <c r="I117" s="846"/>
      <c r="J117" s="846"/>
      <c r="K117" s="846"/>
      <c r="L117" s="846" t="s">
        <v>63</v>
      </c>
      <c r="M117" s="846"/>
      <c r="N117" s="846"/>
      <c r="O117" s="846"/>
      <c r="P117" s="846"/>
      <c r="Q117" s="846"/>
    </row>
    <row r="118" spans="1:17" s="3" customFormat="1" ht="14.5">
      <c r="A118" s="904">
        <v>1</v>
      </c>
      <c r="B118" s="904"/>
      <c r="C118" s="904"/>
      <c r="D118" s="904"/>
      <c r="E118" s="741">
        <v>7.7431599999999996</v>
      </c>
      <c r="F118" s="846"/>
      <c r="G118" s="846"/>
      <c r="H118" s="846"/>
      <c r="I118" s="846"/>
      <c r="J118" s="846"/>
      <c r="K118" s="846"/>
      <c r="L118" s="741">
        <v>7.6991009999999998</v>
      </c>
      <c r="M118" s="846"/>
      <c r="N118" s="846"/>
      <c r="O118" s="846"/>
      <c r="P118" s="846"/>
      <c r="Q118" s="846"/>
    </row>
    <row r="119" spans="1:17" s="3" customFormat="1" ht="14.5">
      <c r="A119" s="904">
        <v>2</v>
      </c>
      <c r="B119" s="904"/>
      <c r="C119" s="904"/>
      <c r="D119" s="904"/>
      <c r="E119" s="741">
        <v>7.73752</v>
      </c>
      <c r="F119" s="846"/>
      <c r="G119" s="846"/>
      <c r="H119" s="846"/>
      <c r="I119" s="846"/>
      <c r="J119" s="846"/>
      <c r="K119" s="846"/>
      <c r="L119" s="741">
        <v>7.6453660000000001</v>
      </c>
      <c r="M119" s="846"/>
      <c r="N119" s="846"/>
      <c r="O119" s="846"/>
      <c r="P119" s="846"/>
      <c r="Q119" s="846"/>
    </row>
    <row r="120" spans="1:17" s="3" customFormat="1" ht="14.5">
      <c r="A120" s="904">
        <v>3</v>
      </c>
      <c r="B120" s="904"/>
      <c r="C120" s="904"/>
      <c r="D120" s="904"/>
      <c r="E120" s="741">
        <v>7.7360300000000004</v>
      </c>
      <c r="F120" s="846"/>
      <c r="G120" s="846"/>
      <c r="H120" s="846"/>
      <c r="I120" s="846"/>
      <c r="J120" s="846"/>
      <c r="K120" s="846"/>
      <c r="L120" s="741">
        <v>7.6320119999999996</v>
      </c>
      <c r="M120" s="846"/>
      <c r="N120" s="846"/>
      <c r="O120" s="846"/>
      <c r="P120" s="846"/>
      <c r="Q120" s="846"/>
    </row>
    <row r="121" spans="1:17" s="3" customFormat="1" ht="14.5">
      <c r="A121" s="904">
        <v>4</v>
      </c>
      <c r="B121" s="904"/>
      <c r="C121" s="904"/>
      <c r="D121" s="904"/>
      <c r="E121" s="741">
        <v>7.7788050000000002</v>
      </c>
      <c r="F121" s="846"/>
      <c r="G121" s="846"/>
      <c r="H121" s="846"/>
      <c r="I121" s="846"/>
      <c r="J121" s="846"/>
      <c r="K121" s="846"/>
      <c r="L121" s="741">
        <v>7.6069490000000002</v>
      </c>
      <c r="M121" s="846"/>
      <c r="N121" s="846"/>
      <c r="O121" s="846"/>
      <c r="P121" s="846"/>
      <c r="Q121" s="846"/>
    </row>
    <row r="122" spans="1:17" s="3" customFormat="1" ht="14.5">
      <c r="A122" s="904">
        <v>5</v>
      </c>
      <c r="B122" s="904"/>
      <c r="C122" s="904"/>
      <c r="D122" s="904"/>
      <c r="E122" s="741">
        <v>7.7655729999999998</v>
      </c>
      <c r="F122" s="846"/>
      <c r="G122" s="846"/>
      <c r="H122" s="846"/>
      <c r="I122" s="846"/>
      <c r="J122" s="846"/>
      <c r="K122" s="846"/>
      <c r="L122" s="741">
        <v>7.6361840000000001</v>
      </c>
      <c r="M122" s="846"/>
      <c r="N122" s="846"/>
      <c r="O122" s="846"/>
      <c r="P122" s="846"/>
      <c r="Q122" s="846"/>
    </row>
    <row r="123" spans="1:17" s="3" customFormat="1" ht="14.5">
      <c r="A123" s="904" t="s">
        <v>64</v>
      </c>
      <c r="B123" s="904"/>
      <c r="C123" s="904"/>
      <c r="D123" s="904"/>
      <c r="E123" s="846">
        <f>MIN(E118:K120)</f>
        <v>7.7360300000000004</v>
      </c>
      <c r="F123" s="846"/>
      <c r="G123" s="846"/>
      <c r="H123" s="846"/>
      <c r="I123" s="846"/>
      <c r="J123" s="846"/>
      <c r="K123" s="846"/>
      <c r="L123" s="846">
        <f>MIN(L118:Q120)</f>
        <v>7.6320119999999996</v>
      </c>
      <c r="M123" s="846"/>
      <c r="N123" s="846"/>
      <c r="O123" s="846"/>
      <c r="P123" s="846"/>
      <c r="Q123" s="846"/>
    </row>
    <row r="124" spans="1:17" s="3" customFormat="1">
      <c r="A124" s="904" t="s">
        <v>65</v>
      </c>
      <c r="B124" s="904"/>
      <c r="C124" s="904"/>
      <c r="D124" s="904"/>
      <c r="E124" s="847" t="s">
        <v>346</v>
      </c>
      <c r="F124" s="847"/>
      <c r="G124" s="847"/>
      <c r="H124" s="847"/>
      <c r="I124" s="847"/>
      <c r="J124" s="847"/>
      <c r="K124" s="847"/>
      <c r="L124" s="847" t="s">
        <v>346</v>
      </c>
      <c r="M124" s="847"/>
      <c r="N124" s="847"/>
      <c r="O124" s="847"/>
      <c r="P124" s="847"/>
      <c r="Q124" s="847"/>
    </row>
    <row r="125" spans="1:17" s="3" customFormat="1">
      <c r="A125" s="742" t="s">
        <v>6</v>
      </c>
      <c r="B125" s="742"/>
      <c r="C125" s="742"/>
      <c r="D125" s="742"/>
      <c r="E125" s="742" t="str">
        <f>IF(COUNTIF(E123, E124), "Pass", "Fail")</f>
        <v>Pass</v>
      </c>
      <c r="F125" s="742"/>
      <c r="G125" s="742"/>
      <c r="H125" s="742"/>
      <c r="I125" s="742"/>
      <c r="J125" s="742"/>
      <c r="K125" s="742"/>
      <c r="L125" s="742" t="str">
        <f>IF(COUNTIF(L123, L124), "Pass", "Fail")</f>
        <v>Pass</v>
      </c>
      <c r="M125" s="742"/>
      <c r="N125" s="742"/>
      <c r="O125" s="742"/>
      <c r="P125" s="742"/>
      <c r="Q125" s="742"/>
    </row>
    <row r="126" spans="1:17" s="3" customFormat="1">
      <c r="A126" s="905" t="s">
        <v>344</v>
      </c>
      <c r="B126" s="905"/>
      <c r="C126" s="905"/>
      <c r="D126" s="905"/>
      <c r="E126" s="905"/>
      <c r="F126" s="905"/>
      <c r="G126" s="905"/>
      <c r="H126" s="905"/>
      <c r="I126" s="905"/>
      <c r="J126" s="905"/>
      <c r="K126" s="905"/>
      <c r="L126" s="905"/>
      <c r="M126" s="905"/>
      <c r="N126" s="905"/>
      <c r="O126" s="905"/>
      <c r="P126" s="905"/>
      <c r="Q126" s="905"/>
    </row>
    <row r="127" spans="1:17" s="3" customFormat="1">
      <c r="A127" s="908" t="s">
        <v>369</v>
      </c>
      <c r="B127" s="908"/>
      <c r="C127" s="908"/>
      <c r="D127" s="908"/>
      <c r="E127" s="908"/>
      <c r="F127" s="908"/>
      <c r="G127" s="908"/>
      <c r="H127" s="908"/>
      <c r="I127" s="908"/>
      <c r="J127" s="908"/>
      <c r="K127" s="908"/>
      <c r="L127" s="908"/>
      <c r="M127" s="908"/>
      <c r="N127" s="908"/>
      <c r="O127" s="908"/>
      <c r="P127" s="908"/>
      <c r="Q127" s="908"/>
    </row>
    <row r="128" spans="1:17" s="3" customFormat="1" ht="14.5">
      <c r="A128" s="793" t="s">
        <v>66</v>
      </c>
      <c r="B128" s="793"/>
      <c r="C128" s="793"/>
      <c r="D128" s="793"/>
      <c r="E128" s="793"/>
      <c r="F128" s="793"/>
      <c r="G128" s="793"/>
      <c r="H128" s="793"/>
      <c r="I128" s="793"/>
      <c r="J128" s="793"/>
      <c r="K128" s="793"/>
      <c r="L128" s="793"/>
      <c r="M128" s="793"/>
      <c r="N128" s="793"/>
      <c r="O128" s="793"/>
      <c r="P128" s="793"/>
      <c r="Q128" s="793"/>
    </row>
    <row r="129" spans="1:17" s="3" customFormat="1" ht="15">
      <c r="A129" s="897" t="s">
        <v>385</v>
      </c>
      <c r="B129" s="897"/>
      <c r="C129" s="897"/>
      <c r="D129" s="897"/>
      <c r="E129" s="897"/>
      <c r="F129" s="897"/>
      <c r="G129" s="897"/>
      <c r="H129" s="897"/>
      <c r="I129" s="898" t="s">
        <v>67</v>
      </c>
      <c r="J129" s="899"/>
      <c r="K129" s="899"/>
      <c r="L129" s="899"/>
      <c r="M129" s="899"/>
      <c r="N129" s="899"/>
      <c r="O129" s="899"/>
      <c r="P129" s="899"/>
      <c r="Q129" s="900"/>
    </row>
    <row r="130" spans="1:17" s="3" customFormat="1" ht="15">
      <c r="A130" s="897"/>
      <c r="B130" s="897"/>
      <c r="C130" s="897"/>
      <c r="D130" s="897"/>
      <c r="E130" s="897"/>
      <c r="F130" s="897"/>
      <c r="G130" s="897"/>
      <c r="H130" s="897"/>
      <c r="I130" s="898" t="s">
        <v>68</v>
      </c>
      <c r="J130" s="899"/>
      <c r="K130" s="899"/>
      <c r="L130" s="899"/>
      <c r="M130" s="899"/>
      <c r="N130" s="899"/>
      <c r="O130" s="899"/>
      <c r="P130" s="899"/>
      <c r="Q130" s="900"/>
    </row>
    <row r="131" spans="1:17" s="3" customFormat="1" ht="15">
      <c r="A131" s="897"/>
      <c r="B131" s="897"/>
      <c r="C131" s="897"/>
      <c r="D131" s="897"/>
      <c r="E131" s="897"/>
      <c r="F131" s="897"/>
      <c r="G131" s="897"/>
      <c r="H131" s="897"/>
      <c r="I131" s="898" t="s">
        <v>69</v>
      </c>
      <c r="J131" s="899"/>
      <c r="K131" s="899"/>
      <c r="L131" s="899"/>
      <c r="M131" s="899"/>
      <c r="N131" s="899"/>
      <c r="O131" s="899"/>
      <c r="P131" s="899"/>
      <c r="Q131" s="900"/>
    </row>
    <row r="132" spans="1:17" s="3" customFormat="1">
      <c r="A132" s="896" t="s">
        <v>70</v>
      </c>
      <c r="B132" s="896"/>
      <c r="C132" s="896"/>
      <c r="D132" s="896"/>
      <c r="E132" s="896"/>
      <c r="F132" s="896"/>
      <c r="G132" s="896"/>
      <c r="H132" s="896"/>
      <c r="I132" s="896"/>
      <c r="J132" s="896"/>
      <c r="K132" s="896"/>
      <c r="L132" s="896"/>
      <c r="M132" s="896"/>
      <c r="N132" s="896"/>
      <c r="O132" s="896"/>
      <c r="P132" s="896"/>
      <c r="Q132" s="896"/>
    </row>
    <row r="133" spans="1:17" s="3" customFormat="1" ht="15">
      <c r="A133" s="901" t="s">
        <v>71</v>
      </c>
      <c r="B133" s="902"/>
      <c r="C133" s="902"/>
      <c r="D133" s="902"/>
      <c r="E133" s="902"/>
      <c r="F133" s="902"/>
      <c r="G133" s="903"/>
      <c r="H133" s="901" t="s">
        <v>79</v>
      </c>
      <c r="I133" s="902"/>
      <c r="J133" s="902"/>
      <c r="K133" s="902"/>
      <c r="L133" s="902"/>
      <c r="M133" s="902"/>
      <c r="N133" s="902"/>
      <c r="O133" s="902"/>
      <c r="P133" s="902"/>
      <c r="Q133" s="903"/>
    </row>
    <row r="134" spans="1:17" s="3" customFormat="1" ht="15">
      <c r="A134" s="907" t="s">
        <v>72</v>
      </c>
      <c r="B134" s="907"/>
      <c r="C134" s="907"/>
      <c r="D134" s="906" t="s">
        <v>73</v>
      </c>
      <c r="E134" s="906"/>
      <c r="F134" s="906"/>
      <c r="G134" s="906"/>
      <c r="H134" s="894" t="s">
        <v>74</v>
      </c>
      <c r="I134" s="894"/>
      <c r="J134" s="894"/>
      <c r="K134" s="894"/>
      <c r="L134" s="894"/>
      <c r="M134" s="894" t="s">
        <v>75</v>
      </c>
      <c r="N134" s="894"/>
      <c r="O134" s="894"/>
      <c r="P134" s="894"/>
      <c r="Q134" s="894"/>
    </row>
    <row r="135" spans="1:17" s="3" customFormat="1" ht="15">
      <c r="A135" s="907"/>
      <c r="B135" s="907"/>
      <c r="C135" s="907"/>
      <c r="D135" s="906">
        <v>1</v>
      </c>
      <c r="E135" s="906"/>
      <c r="F135" s="906"/>
      <c r="G135" s="906"/>
      <c r="H135" s="741">
        <v>0.98730200000000001</v>
      </c>
      <c r="I135" s="894"/>
      <c r="J135" s="894"/>
      <c r="K135" s="894"/>
      <c r="L135" s="894"/>
      <c r="M135" s="741">
        <v>0.98311300000000001</v>
      </c>
      <c r="N135" s="894"/>
      <c r="O135" s="894"/>
      <c r="P135" s="894"/>
      <c r="Q135" s="894"/>
    </row>
    <row r="136" spans="1:17" s="3" customFormat="1" ht="15">
      <c r="A136" s="907"/>
      <c r="B136" s="907"/>
      <c r="C136" s="907"/>
      <c r="D136" s="906">
        <v>2</v>
      </c>
      <c r="E136" s="906"/>
      <c r="F136" s="906"/>
      <c r="G136" s="906"/>
      <c r="H136" s="741">
        <v>0.98722399999999999</v>
      </c>
      <c r="I136" s="894"/>
      <c r="J136" s="894"/>
      <c r="K136" s="894"/>
      <c r="L136" s="894"/>
      <c r="M136" s="741">
        <v>0.98314900000000005</v>
      </c>
      <c r="N136" s="894"/>
      <c r="O136" s="894"/>
      <c r="P136" s="894"/>
      <c r="Q136" s="894"/>
    </row>
    <row r="137" spans="1:17" s="3" customFormat="1" ht="15">
      <c r="A137" s="907"/>
      <c r="B137" s="907"/>
      <c r="C137" s="907"/>
      <c r="D137" s="906">
        <v>3</v>
      </c>
      <c r="E137" s="906"/>
      <c r="F137" s="906"/>
      <c r="G137" s="906"/>
      <c r="H137" s="741">
        <v>0.98687100000000005</v>
      </c>
      <c r="I137" s="894"/>
      <c r="J137" s="894"/>
      <c r="K137" s="894"/>
      <c r="L137" s="894"/>
      <c r="M137" s="741">
        <v>0.98358100000000004</v>
      </c>
      <c r="N137" s="894"/>
      <c r="O137" s="894"/>
      <c r="P137" s="894"/>
      <c r="Q137" s="894"/>
    </row>
    <row r="138" spans="1:17" s="3" customFormat="1" ht="15">
      <c r="A138" s="907" t="s">
        <v>76</v>
      </c>
      <c r="B138" s="907"/>
      <c r="C138" s="907"/>
      <c r="D138" s="906" t="s">
        <v>76</v>
      </c>
      <c r="E138" s="906"/>
      <c r="F138" s="906"/>
      <c r="G138" s="906"/>
      <c r="H138" s="894">
        <f>AVERAGE(H135:L137)</f>
        <v>0.98713233333333328</v>
      </c>
      <c r="I138" s="894"/>
      <c r="J138" s="894"/>
      <c r="K138" s="894"/>
      <c r="L138" s="894"/>
      <c r="M138" s="894">
        <f>AVERAGE(M135:Q137)</f>
        <v>0.98328099999999996</v>
      </c>
      <c r="N138" s="894"/>
      <c r="O138" s="894"/>
      <c r="P138" s="894"/>
      <c r="Q138" s="894"/>
    </row>
    <row r="139" spans="1:17" s="3" customFormat="1" ht="15">
      <c r="A139" s="907"/>
      <c r="B139" s="907"/>
      <c r="C139" s="907"/>
      <c r="D139" s="906" t="s">
        <v>77</v>
      </c>
      <c r="E139" s="906"/>
      <c r="F139" s="906"/>
      <c r="G139" s="906"/>
      <c r="H139" s="894">
        <f>IF(A131="",1+0.07,A131+0.07)</f>
        <v>1.07</v>
      </c>
      <c r="I139" s="894"/>
      <c r="J139" s="894"/>
      <c r="K139" s="894"/>
      <c r="L139" s="894"/>
      <c r="M139" s="894">
        <f>IF(A131="",1+0.07,A131+0.07)</f>
        <v>1.07</v>
      </c>
      <c r="N139" s="894"/>
      <c r="O139" s="894"/>
      <c r="P139" s="894"/>
      <c r="Q139" s="894"/>
    </row>
    <row r="140" spans="1:17" s="3" customFormat="1" ht="15">
      <c r="A140" s="907"/>
      <c r="B140" s="907"/>
      <c r="C140" s="907"/>
      <c r="D140" s="906" t="s">
        <v>78</v>
      </c>
      <c r="E140" s="906"/>
      <c r="F140" s="906"/>
      <c r="G140" s="906"/>
      <c r="H140" s="894">
        <f>IF(A131="",1-0.07,A131-0.07)</f>
        <v>0.92999999999999994</v>
      </c>
      <c r="I140" s="894"/>
      <c r="J140" s="894"/>
      <c r="K140" s="894"/>
      <c r="L140" s="894"/>
      <c r="M140" s="894">
        <f>IF(A131="",1-0.07,A131-0.07)</f>
        <v>0.92999999999999994</v>
      </c>
      <c r="N140" s="894"/>
      <c r="O140" s="894"/>
      <c r="P140" s="894"/>
      <c r="Q140" s="894"/>
    </row>
    <row r="141" spans="1:17" s="3" customFormat="1" ht="15">
      <c r="A141" s="907"/>
      <c r="B141" s="907"/>
      <c r="C141" s="907"/>
      <c r="D141" s="906" t="s">
        <v>6</v>
      </c>
      <c r="E141" s="906"/>
      <c r="F141" s="906"/>
      <c r="G141" s="906"/>
      <c r="H141" s="895" t="str">
        <f>IF(AND((H138&lt;=H139),(H138&gt;=H140)), "Pass", "Fail")</f>
        <v>Pass</v>
      </c>
      <c r="I141" s="895"/>
      <c r="J141" s="895"/>
      <c r="K141" s="895"/>
      <c r="L141" s="895"/>
      <c r="M141" s="895" t="str">
        <f>IF(AND((M138&lt;=M139),(M138&gt;=M140)), "Pass", "Fail")</f>
        <v>Pass</v>
      </c>
      <c r="N141" s="895"/>
      <c r="O141" s="895"/>
      <c r="P141" s="895"/>
      <c r="Q141" s="895"/>
    </row>
    <row r="142" spans="1:17" s="3" customFormat="1">
      <c r="A142" s="896" t="s">
        <v>80</v>
      </c>
      <c r="B142" s="896"/>
      <c r="C142" s="896"/>
      <c r="D142" s="896"/>
      <c r="E142" s="896"/>
      <c r="F142" s="896"/>
      <c r="G142" s="896"/>
      <c r="H142" s="896"/>
      <c r="I142" s="896"/>
      <c r="J142" s="896"/>
      <c r="K142" s="896"/>
      <c r="L142" s="896"/>
      <c r="M142" s="896"/>
      <c r="N142" s="896"/>
      <c r="O142" s="896"/>
      <c r="P142" s="896"/>
      <c r="Q142" s="896"/>
    </row>
    <row r="143" spans="1:17" s="3" customFormat="1" ht="15">
      <c r="A143" s="901" t="s">
        <v>71</v>
      </c>
      <c r="B143" s="902"/>
      <c r="C143" s="902"/>
      <c r="D143" s="902"/>
      <c r="E143" s="902"/>
      <c r="F143" s="902"/>
      <c r="G143" s="903"/>
      <c r="H143" s="901" t="s">
        <v>81</v>
      </c>
      <c r="I143" s="902"/>
      <c r="J143" s="902"/>
      <c r="K143" s="902"/>
      <c r="L143" s="902"/>
      <c r="M143" s="902"/>
      <c r="N143" s="902"/>
      <c r="O143" s="902"/>
      <c r="P143" s="902"/>
      <c r="Q143" s="903"/>
    </row>
    <row r="144" spans="1:17" s="3" customFormat="1" ht="15">
      <c r="A144" s="907" t="s">
        <v>72</v>
      </c>
      <c r="B144" s="907"/>
      <c r="C144" s="907"/>
      <c r="D144" s="906" t="s">
        <v>73</v>
      </c>
      <c r="E144" s="906"/>
      <c r="F144" s="906"/>
      <c r="G144" s="906"/>
      <c r="H144" s="894" t="s">
        <v>74</v>
      </c>
      <c r="I144" s="894"/>
      <c r="J144" s="894"/>
      <c r="K144" s="894"/>
      <c r="L144" s="894"/>
      <c r="M144" s="894" t="s">
        <v>75</v>
      </c>
      <c r="N144" s="894"/>
      <c r="O144" s="894"/>
      <c r="P144" s="894"/>
      <c r="Q144" s="894"/>
    </row>
    <row r="145" spans="1:17" s="3" customFormat="1" ht="15">
      <c r="A145" s="907"/>
      <c r="B145" s="907"/>
      <c r="C145" s="907"/>
      <c r="D145" s="906">
        <v>1</v>
      </c>
      <c r="E145" s="906"/>
      <c r="F145" s="906"/>
      <c r="G145" s="906"/>
      <c r="H145" s="741">
        <v>0.48917100000000002</v>
      </c>
      <c r="I145" s="894"/>
      <c r="J145" s="894"/>
      <c r="K145" s="894"/>
      <c r="L145" s="894"/>
      <c r="M145" s="741">
        <v>0.48702899999999999</v>
      </c>
      <c r="N145" s="894"/>
      <c r="O145" s="894"/>
      <c r="P145" s="894"/>
      <c r="Q145" s="894"/>
    </row>
    <row r="146" spans="1:17" s="3" customFormat="1" ht="15">
      <c r="A146" s="907"/>
      <c r="B146" s="907"/>
      <c r="C146" s="907"/>
      <c r="D146" s="906">
        <v>2</v>
      </c>
      <c r="E146" s="906"/>
      <c r="F146" s="906"/>
      <c r="G146" s="906"/>
      <c r="H146" s="741">
        <v>0.48947099999999999</v>
      </c>
      <c r="I146" s="894"/>
      <c r="J146" s="894"/>
      <c r="K146" s="894"/>
      <c r="L146" s="894"/>
      <c r="M146" s="741">
        <v>0.488012</v>
      </c>
      <c r="N146" s="894"/>
      <c r="O146" s="894"/>
      <c r="P146" s="894"/>
      <c r="Q146" s="894"/>
    </row>
    <row r="147" spans="1:17" s="3" customFormat="1" ht="15">
      <c r="A147" s="907"/>
      <c r="B147" s="907"/>
      <c r="C147" s="907"/>
      <c r="D147" s="906">
        <v>3</v>
      </c>
      <c r="E147" s="906"/>
      <c r="F147" s="906"/>
      <c r="G147" s="906"/>
      <c r="H147" s="741">
        <v>0.48881999999999998</v>
      </c>
      <c r="I147" s="894"/>
      <c r="J147" s="894"/>
      <c r="K147" s="894"/>
      <c r="L147" s="894"/>
      <c r="M147" s="741">
        <v>0.48669800000000002</v>
      </c>
      <c r="N147" s="894"/>
      <c r="O147" s="894"/>
      <c r="P147" s="894"/>
      <c r="Q147" s="894"/>
    </row>
    <row r="148" spans="1:17" s="3" customFormat="1" ht="15">
      <c r="A148" s="907" t="s">
        <v>256</v>
      </c>
      <c r="B148" s="907"/>
      <c r="C148" s="907"/>
      <c r="D148" s="906" t="s">
        <v>76</v>
      </c>
      <c r="E148" s="906"/>
      <c r="F148" s="906"/>
      <c r="G148" s="906"/>
      <c r="H148" s="894">
        <f>AVERAGE(H145:L147)</f>
        <v>0.48915400000000003</v>
      </c>
      <c r="I148" s="894"/>
      <c r="J148" s="894"/>
      <c r="K148" s="894"/>
      <c r="L148" s="894"/>
      <c r="M148" s="894">
        <f>AVERAGE(M145:Q147)</f>
        <v>0.48724633333333339</v>
      </c>
      <c r="N148" s="894"/>
      <c r="O148" s="894"/>
      <c r="P148" s="894"/>
      <c r="Q148" s="894"/>
    </row>
    <row r="149" spans="1:17" s="3" customFormat="1" ht="15">
      <c r="A149" s="907"/>
      <c r="B149" s="907"/>
      <c r="C149" s="907"/>
      <c r="D149" s="906" t="s">
        <v>77</v>
      </c>
      <c r="E149" s="906"/>
      <c r="F149" s="906"/>
      <c r="G149" s="906"/>
      <c r="H149" s="894">
        <f>IF(A130="",0.5+0.025,A130+0.025)</f>
        <v>0.52500000000000002</v>
      </c>
      <c r="I149" s="894"/>
      <c r="J149" s="894"/>
      <c r="K149" s="894"/>
      <c r="L149" s="894"/>
      <c r="M149" s="894">
        <f>IF(A130="",0.5+0.025,A130+0.025)</f>
        <v>0.52500000000000002</v>
      </c>
      <c r="N149" s="894"/>
      <c r="O149" s="894"/>
      <c r="P149" s="894"/>
      <c r="Q149" s="894"/>
    </row>
    <row r="150" spans="1:17" s="3" customFormat="1" ht="15">
      <c r="A150" s="907"/>
      <c r="B150" s="907"/>
      <c r="C150" s="907"/>
      <c r="D150" s="906" t="s">
        <v>78</v>
      </c>
      <c r="E150" s="906"/>
      <c r="F150" s="906"/>
      <c r="G150" s="906"/>
      <c r="H150" s="894">
        <f>IF(A130="",0.5-0.025,A130-0.025)</f>
        <v>0.47499999999999998</v>
      </c>
      <c r="I150" s="894"/>
      <c r="J150" s="894"/>
      <c r="K150" s="894"/>
      <c r="L150" s="894"/>
      <c r="M150" s="894">
        <f>IF(A130="",0.5-0.025,A130-0.025)</f>
        <v>0.47499999999999998</v>
      </c>
      <c r="N150" s="894"/>
      <c r="O150" s="894"/>
      <c r="P150" s="894"/>
      <c r="Q150" s="894"/>
    </row>
    <row r="151" spans="1:17" s="3" customFormat="1" ht="15">
      <c r="A151" s="907"/>
      <c r="B151" s="907"/>
      <c r="C151" s="907"/>
      <c r="D151" s="906" t="s">
        <v>6</v>
      </c>
      <c r="E151" s="906"/>
      <c r="F151" s="906"/>
      <c r="G151" s="906"/>
      <c r="H151" s="895" t="str">
        <f>IF(AND((H148&lt;=H149),(H148&gt;=H150)), "Pass", "Fail")</f>
        <v>Pass</v>
      </c>
      <c r="I151" s="895"/>
      <c r="J151" s="895"/>
      <c r="K151" s="895"/>
      <c r="L151" s="895"/>
      <c r="M151" s="895" t="str">
        <f>IF(AND((M148&lt;=M149),(M148&gt;=M150)), "Pass", "Fail")</f>
        <v>Pass</v>
      </c>
      <c r="N151" s="895"/>
      <c r="O151" s="895"/>
      <c r="P151" s="895"/>
      <c r="Q151" s="895"/>
    </row>
    <row r="152" spans="1:17" s="3" customFormat="1" ht="22.75" customHeight="1">
      <c r="A152" s="885"/>
      <c r="B152" s="885"/>
      <c r="C152" s="885"/>
      <c r="D152" s="885"/>
      <c r="E152" s="885"/>
      <c r="F152" s="885"/>
      <c r="G152" s="885"/>
      <c r="H152" s="885"/>
      <c r="I152" s="885"/>
      <c r="J152" s="885"/>
      <c r="K152" s="885"/>
      <c r="L152" s="885"/>
      <c r="M152" s="885"/>
      <c r="N152" s="885"/>
      <c r="O152" s="885"/>
      <c r="P152" s="885"/>
      <c r="Q152" s="885"/>
    </row>
    <row r="153" spans="1:17" s="3" customFormat="1">
      <c r="A153" s="908" t="s">
        <v>370</v>
      </c>
      <c r="B153" s="908"/>
      <c r="C153" s="908"/>
      <c r="D153" s="908"/>
      <c r="E153" s="908"/>
      <c r="F153" s="908"/>
      <c r="G153" s="908"/>
      <c r="H153" s="908"/>
      <c r="I153" s="908"/>
      <c r="J153" s="908"/>
      <c r="K153" s="908"/>
      <c r="L153" s="908"/>
      <c r="M153" s="908"/>
      <c r="N153" s="908"/>
      <c r="O153" s="908"/>
      <c r="P153" s="908"/>
      <c r="Q153" s="908"/>
    </row>
    <row r="154" spans="1:17" s="3" customFormat="1" ht="15.65" customHeight="1">
      <c r="A154" s="793" t="s">
        <v>82</v>
      </c>
      <c r="B154" s="793"/>
      <c r="C154" s="793"/>
      <c r="D154" s="793"/>
      <c r="E154" s="793"/>
      <c r="F154" s="793"/>
      <c r="G154" s="793"/>
      <c r="H154" s="793"/>
      <c r="I154" s="793"/>
      <c r="J154" s="793"/>
      <c r="K154" s="793"/>
      <c r="L154" s="793"/>
      <c r="M154" s="793"/>
      <c r="N154" s="793"/>
      <c r="O154" s="793"/>
      <c r="P154" s="793"/>
      <c r="Q154" s="793"/>
    </row>
    <row r="155" spans="1:17" s="3" customFormat="1" ht="15">
      <c r="A155" s="872" t="s">
        <v>71</v>
      </c>
      <c r="B155" s="872"/>
      <c r="C155" s="872"/>
      <c r="D155" s="872"/>
      <c r="E155" s="872"/>
      <c r="F155" s="872"/>
      <c r="G155" s="872"/>
      <c r="H155" s="872" t="s">
        <v>87</v>
      </c>
      <c r="I155" s="872"/>
      <c r="J155" s="872"/>
      <c r="K155" s="872"/>
      <c r="L155" s="872"/>
      <c r="M155" s="872"/>
      <c r="N155" s="872"/>
      <c r="O155" s="872"/>
      <c r="P155" s="872"/>
      <c r="Q155" s="872"/>
    </row>
    <row r="156" spans="1:17" s="3" customFormat="1" ht="14.5" customHeight="1">
      <c r="A156" s="907" t="s">
        <v>72</v>
      </c>
      <c r="B156" s="907"/>
      <c r="C156" s="907"/>
      <c r="D156" s="906" t="s">
        <v>88</v>
      </c>
      <c r="E156" s="906"/>
      <c r="F156" s="906"/>
      <c r="G156" s="906"/>
      <c r="H156" s="906" t="s">
        <v>83</v>
      </c>
      <c r="I156" s="906"/>
      <c r="J156" s="906"/>
      <c r="K156" s="906"/>
      <c r="L156" s="906"/>
      <c r="M156" s="906" t="s">
        <v>84</v>
      </c>
      <c r="N156" s="906"/>
      <c r="O156" s="906"/>
      <c r="P156" s="906"/>
      <c r="Q156" s="906"/>
    </row>
    <row r="157" spans="1:17" s="3" customFormat="1" ht="14.5" customHeight="1">
      <c r="A157" s="907"/>
      <c r="B157" s="907"/>
      <c r="C157" s="907"/>
      <c r="D157" s="839">
        <v>1</v>
      </c>
      <c r="E157" s="839"/>
      <c r="F157" s="839"/>
      <c r="G157" s="839"/>
      <c r="H157" s="741">
        <v>0.86841999999999997</v>
      </c>
      <c r="I157" s="839"/>
      <c r="J157" s="839"/>
      <c r="K157" s="839"/>
      <c r="L157" s="839"/>
      <c r="M157" s="741">
        <v>0.88141800000000003</v>
      </c>
      <c r="N157" s="839"/>
      <c r="O157" s="839"/>
      <c r="P157" s="839"/>
      <c r="Q157" s="839"/>
    </row>
    <row r="158" spans="1:17" s="3" customFormat="1" ht="14.5" customHeight="1">
      <c r="A158" s="907"/>
      <c r="B158" s="907"/>
      <c r="C158" s="907"/>
      <c r="D158" s="839">
        <v>2</v>
      </c>
      <c r="E158" s="839">
        <v>2</v>
      </c>
      <c r="F158" s="839"/>
      <c r="G158" s="839">
        <v>2</v>
      </c>
      <c r="H158" s="741">
        <v>0.86913399999999996</v>
      </c>
      <c r="I158" s="839"/>
      <c r="J158" s="839"/>
      <c r="K158" s="839"/>
      <c r="L158" s="839"/>
      <c r="M158" s="741">
        <v>0.88001099999999999</v>
      </c>
      <c r="N158" s="839"/>
      <c r="O158" s="839"/>
      <c r="P158" s="839"/>
      <c r="Q158" s="839"/>
    </row>
    <row r="159" spans="1:17" s="3" customFormat="1" ht="14.5" customHeight="1">
      <c r="A159" s="907"/>
      <c r="B159" s="907"/>
      <c r="C159" s="907"/>
      <c r="D159" s="839">
        <v>3</v>
      </c>
      <c r="E159" s="839">
        <v>3</v>
      </c>
      <c r="F159" s="839"/>
      <c r="G159" s="839">
        <v>3</v>
      </c>
      <c r="H159" s="741">
        <v>0.86796799999999996</v>
      </c>
      <c r="I159" s="839"/>
      <c r="J159" s="839"/>
      <c r="K159" s="839"/>
      <c r="L159" s="839"/>
      <c r="M159" s="741">
        <v>0.88130900000000001</v>
      </c>
      <c r="N159" s="839"/>
      <c r="O159" s="839"/>
      <c r="P159" s="839"/>
      <c r="Q159" s="839"/>
    </row>
    <row r="160" spans="1:17" s="3" customFormat="1" ht="14.5" customHeight="1">
      <c r="A160" s="907"/>
      <c r="B160" s="907"/>
      <c r="C160" s="907"/>
      <c r="D160" s="839">
        <v>4</v>
      </c>
      <c r="E160" s="839">
        <v>4</v>
      </c>
      <c r="F160" s="839"/>
      <c r="G160" s="839">
        <v>4</v>
      </c>
      <c r="H160" s="741">
        <v>0.86921499999999996</v>
      </c>
      <c r="I160" s="839"/>
      <c r="J160" s="839"/>
      <c r="K160" s="839"/>
      <c r="L160" s="839"/>
      <c r="M160" s="741">
        <v>0.87991399999999997</v>
      </c>
      <c r="N160" s="839"/>
      <c r="O160" s="839"/>
      <c r="P160" s="839"/>
      <c r="Q160" s="839"/>
    </row>
    <row r="161" spans="1:17" s="3" customFormat="1" ht="14.5" customHeight="1">
      <c r="A161" s="907"/>
      <c r="B161" s="907"/>
      <c r="C161" s="907"/>
      <c r="D161" s="839">
        <v>5</v>
      </c>
      <c r="E161" s="839">
        <v>5</v>
      </c>
      <c r="F161" s="839"/>
      <c r="G161" s="839">
        <v>5</v>
      </c>
      <c r="H161" s="741">
        <v>0.86623000000000006</v>
      </c>
      <c r="I161" s="839"/>
      <c r="J161" s="839"/>
      <c r="K161" s="839"/>
      <c r="L161" s="839"/>
      <c r="M161" s="741">
        <v>0.88105299999999998</v>
      </c>
      <c r="N161" s="839"/>
      <c r="O161" s="839"/>
      <c r="P161" s="839"/>
      <c r="Q161" s="839"/>
    </row>
    <row r="162" spans="1:17" s="3" customFormat="1" ht="14.5" customHeight="1">
      <c r="A162" s="907"/>
      <c r="B162" s="907"/>
      <c r="C162" s="907"/>
      <c r="D162" s="839">
        <v>6</v>
      </c>
      <c r="E162" s="839">
        <v>6</v>
      </c>
      <c r="F162" s="839"/>
      <c r="G162" s="839">
        <v>6</v>
      </c>
      <c r="H162" s="741">
        <v>0.86701099999999998</v>
      </c>
      <c r="I162" s="839"/>
      <c r="J162" s="839"/>
      <c r="K162" s="839"/>
      <c r="L162" s="839"/>
      <c r="M162" s="741">
        <v>0.88124100000000005</v>
      </c>
      <c r="N162" s="839"/>
      <c r="O162" s="839"/>
      <c r="P162" s="839"/>
      <c r="Q162" s="839"/>
    </row>
    <row r="163" spans="1:17" s="3" customFormat="1" ht="14.5" customHeight="1">
      <c r="A163" s="907"/>
      <c r="B163" s="907"/>
      <c r="C163" s="907"/>
      <c r="D163" s="839">
        <v>7</v>
      </c>
      <c r="E163" s="839">
        <v>7</v>
      </c>
      <c r="F163" s="839"/>
      <c r="G163" s="839">
        <v>7</v>
      </c>
      <c r="H163" s="741">
        <v>0.86767499999999997</v>
      </c>
      <c r="I163" s="839"/>
      <c r="J163" s="839"/>
      <c r="K163" s="839"/>
      <c r="L163" s="839"/>
      <c r="M163" s="741">
        <v>0.88061900000000004</v>
      </c>
      <c r="N163" s="839"/>
      <c r="O163" s="839"/>
      <c r="P163" s="839"/>
      <c r="Q163" s="839"/>
    </row>
    <row r="164" spans="1:17" s="3" customFormat="1" ht="14.5" customHeight="1">
      <c r="A164" s="907"/>
      <c r="B164" s="907"/>
      <c r="C164" s="907"/>
      <c r="D164" s="839">
        <v>8</v>
      </c>
      <c r="E164" s="839">
        <v>8</v>
      </c>
      <c r="F164" s="839"/>
      <c r="G164" s="839">
        <v>8</v>
      </c>
      <c r="H164" s="741">
        <v>0.86918200000000001</v>
      </c>
      <c r="I164" s="839"/>
      <c r="J164" s="839"/>
      <c r="K164" s="839"/>
      <c r="L164" s="839"/>
      <c r="M164" s="741">
        <v>0.87903399999999998</v>
      </c>
      <c r="N164" s="839"/>
      <c r="O164" s="839"/>
      <c r="P164" s="839"/>
      <c r="Q164" s="839"/>
    </row>
    <row r="165" spans="1:17" s="3" customFormat="1" ht="14.5" customHeight="1">
      <c r="A165" s="907"/>
      <c r="B165" s="907"/>
      <c r="C165" s="907"/>
      <c r="D165" s="839">
        <v>9</v>
      </c>
      <c r="E165" s="839">
        <v>9</v>
      </c>
      <c r="F165" s="839"/>
      <c r="G165" s="839">
        <v>9</v>
      </c>
      <c r="H165" s="741">
        <v>0.86626800000000004</v>
      </c>
      <c r="I165" s="839"/>
      <c r="J165" s="839"/>
      <c r="K165" s="839"/>
      <c r="L165" s="839"/>
      <c r="M165" s="741">
        <v>0.88026199999999999</v>
      </c>
      <c r="N165" s="839"/>
      <c r="O165" s="839"/>
      <c r="P165" s="839"/>
      <c r="Q165" s="839"/>
    </row>
    <row r="166" spans="1:17" s="3" customFormat="1" ht="14.5" customHeight="1">
      <c r="A166" s="907"/>
      <c r="B166" s="907"/>
      <c r="C166" s="907"/>
      <c r="D166" s="839">
        <v>10</v>
      </c>
      <c r="E166" s="839">
        <v>10</v>
      </c>
      <c r="F166" s="839"/>
      <c r="G166" s="839">
        <v>10</v>
      </c>
      <c r="H166" s="741">
        <v>0.86646299999999998</v>
      </c>
      <c r="I166" s="839"/>
      <c r="J166" s="839"/>
      <c r="K166" s="839"/>
      <c r="L166" s="839"/>
      <c r="M166" s="741">
        <v>0.88322599999999996</v>
      </c>
      <c r="N166" s="839"/>
      <c r="O166" s="839"/>
      <c r="P166" s="839"/>
      <c r="Q166" s="839"/>
    </row>
    <row r="167" spans="1:17" s="3" customFormat="1" ht="14.5" customHeight="1">
      <c r="A167" s="907"/>
      <c r="B167" s="907"/>
      <c r="C167" s="907"/>
      <c r="D167" s="839">
        <v>11</v>
      </c>
      <c r="E167" s="839">
        <v>11</v>
      </c>
      <c r="F167" s="839"/>
      <c r="G167" s="839">
        <v>11</v>
      </c>
      <c r="H167" s="741">
        <v>0.86564200000000002</v>
      </c>
      <c r="I167" s="839"/>
      <c r="J167" s="839"/>
      <c r="K167" s="839"/>
      <c r="L167" s="839"/>
      <c r="M167" s="741">
        <v>0.88188</v>
      </c>
      <c r="N167" s="839"/>
      <c r="O167" s="839"/>
      <c r="P167" s="839"/>
      <c r="Q167" s="839"/>
    </row>
    <row r="168" spans="1:17" s="3" customFormat="1" ht="14.5" customHeight="1">
      <c r="A168" s="907"/>
      <c r="B168" s="907"/>
      <c r="C168" s="907"/>
      <c r="D168" s="839">
        <v>12</v>
      </c>
      <c r="E168" s="839">
        <v>12</v>
      </c>
      <c r="F168" s="839"/>
      <c r="G168" s="839">
        <v>12</v>
      </c>
      <c r="H168" s="741">
        <v>0.86671399999999998</v>
      </c>
      <c r="I168" s="839"/>
      <c r="J168" s="839"/>
      <c r="K168" s="839"/>
      <c r="L168" s="839"/>
      <c r="M168" s="741">
        <v>0.87927999999999995</v>
      </c>
      <c r="N168" s="839"/>
      <c r="O168" s="839"/>
      <c r="P168" s="839"/>
      <c r="Q168" s="839"/>
    </row>
    <row r="169" spans="1:17" s="3" customFormat="1" ht="14.5" customHeight="1">
      <c r="A169" s="907"/>
      <c r="B169" s="907"/>
      <c r="C169" s="907"/>
      <c r="D169" s="839">
        <v>13</v>
      </c>
      <c r="E169" s="839">
        <v>13</v>
      </c>
      <c r="F169" s="839"/>
      <c r="G169" s="839">
        <v>13</v>
      </c>
      <c r="H169" s="741">
        <v>0.86672499999999997</v>
      </c>
      <c r="I169" s="839"/>
      <c r="J169" s="839"/>
      <c r="K169" s="839"/>
      <c r="L169" s="839"/>
      <c r="M169" s="741">
        <v>0.88388900000000004</v>
      </c>
      <c r="N169" s="839"/>
      <c r="O169" s="839"/>
      <c r="P169" s="839"/>
      <c r="Q169" s="839"/>
    </row>
    <row r="170" spans="1:17" s="3" customFormat="1" ht="14.5" customHeight="1">
      <c r="A170" s="907"/>
      <c r="B170" s="907"/>
      <c r="C170" s="907"/>
      <c r="D170" s="839">
        <v>14</v>
      </c>
      <c r="E170" s="839">
        <v>14</v>
      </c>
      <c r="F170" s="839"/>
      <c r="G170" s="839">
        <v>14</v>
      </c>
      <c r="H170" s="741">
        <v>0.86759399999999998</v>
      </c>
      <c r="I170" s="839"/>
      <c r="J170" s="839"/>
      <c r="K170" s="839"/>
      <c r="L170" s="839"/>
      <c r="M170" s="741">
        <v>0.88233099999999998</v>
      </c>
      <c r="N170" s="839"/>
      <c r="O170" s="839"/>
      <c r="P170" s="839"/>
      <c r="Q170" s="839"/>
    </row>
    <row r="171" spans="1:17" s="3" customFormat="1" ht="14.5" customHeight="1">
      <c r="A171" s="907"/>
      <c r="B171" s="907"/>
      <c r="C171" s="907"/>
      <c r="D171" s="839">
        <v>15</v>
      </c>
      <c r="E171" s="839">
        <v>15</v>
      </c>
      <c r="F171" s="839"/>
      <c r="G171" s="839">
        <v>15</v>
      </c>
      <c r="H171" s="741">
        <v>0.86597100000000005</v>
      </c>
      <c r="I171" s="839"/>
      <c r="J171" s="839"/>
      <c r="K171" s="839"/>
      <c r="L171" s="839"/>
      <c r="M171" s="741">
        <v>0.88168999999999997</v>
      </c>
      <c r="N171" s="839"/>
      <c r="O171" s="839"/>
      <c r="P171" s="839"/>
      <c r="Q171" s="839"/>
    </row>
    <row r="172" spans="1:17" s="3" customFormat="1" ht="14.5" customHeight="1">
      <c r="A172" s="907"/>
      <c r="B172" s="907"/>
      <c r="C172" s="907"/>
      <c r="D172" s="839">
        <v>16</v>
      </c>
      <c r="E172" s="839">
        <v>16</v>
      </c>
      <c r="F172" s="839"/>
      <c r="G172" s="839">
        <v>16</v>
      </c>
      <c r="H172" s="741">
        <v>0.86733700000000002</v>
      </c>
      <c r="I172" s="839"/>
      <c r="J172" s="839"/>
      <c r="K172" s="839"/>
      <c r="L172" s="839"/>
      <c r="M172" s="741">
        <v>0.88534599999999997</v>
      </c>
      <c r="N172" s="839"/>
      <c r="O172" s="839"/>
      <c r="P172" s="839"/>
      <c r="Q172" s="839"/>
    </row>
    <row r="173" spans="1:17" s="3" customFormat="1" ht="14.5" customHeight="1">
      <c r="A173" s="907"/>
      <c r="B173" s="907"/>
      <c r="C173" s="907"/>
      <c r="D173" s="839">
        <v>17</v>
      </c>
      <c r="E173" s="839">
        <v>17</v>
      </c>
      <c r="F173" s="839"/>
      <c r="G173" s="839">
        <v>17</v>
      </c>
      <c r="H173" s="741">
        <v>0.86481699999999995</v>
      </c>
      <c r="I173" s="839"/>
      <c r="J173" s="839"/>
      <c r="K173" s="839"/>
      <c r="L173" s="839"/>
      <c r="M173" s="741">
        <v>0.88183699999999998</v>
      </c>
      <c r="N173" s="839"/>
      <c r="O173" s="839"/>
      <c r="P173" s="839"/>
      <c r="Q173" s="839"/>
    </row>
    <row r="174" spans="1:17" s="3" customFormat="1" ht="14.5" customHeight="1">
      <c r="A174" s="907"/>
      <c r="B174" s="907"/>
      <c r="C174" s="907"/>
      <c r="D174" s="839">
        <v>18</v>
      </c>
      <c r="E174" s="839">
        <v>18</v>
      </c>
      <c r="F174" s="839"/>
      <c r="G174" s="839">
        <v>18</v>
      </c>
      <c r="H174" s="741">
        <v>0.86673999999999995</v>
      </c>
      <c r="I174" s="839"/>
      <c r="J174" s="839"/>
      <c r="K174" s="839"/>
      <c r="L174" s="839"/>
      <c r="M174" s="741">
        <v>0.88139999999999996</v>
      </c>
      <c r="N174" s="839"/>
      <c r="O174" s="839"/>
      <c r="P174" s="839"/>
      <c r="Q174" s="839"/>
    </row>
    <row r="175" spans="1:17" s="3" customFormat="1" ht="14.5" customHeight="1">
      <c r="A175" s="907"/>
      <c r="B175" s="907"/>
      <c r="C175" s="907"/>
      <c r="D175" s="839">
        <v>19</v>
      </c>
      <c r="E175" s="839">
        <v>19</v>
      </c>
      <c r="F175" s="839"/>
      <c r="G175" s="839">
        <v>19</v>
      </c>
      <c r="H175" s="741">
        <v>0.86749600000000004</v>
      </c>
      <c r="I175" s="839"/>
      <c r="J175" s="839"/>
      <c r="K175" s="839"/>
      <c r="L175" s="839"/>
      <c r="M175" s="741">
        <v>0.88586699999999996</v>
      </c>
      <c r="N175" s="839"/>
      <c r="O175" s="839"/>
      <c r="P175" s="839"/>
      <c r="Q175" s="839"/>
    </row>
    <row r="176" spans="1:17" s="3" customFormat="1" ht="14.5" customHeight="1">
      <c r="A176" s="907"/>
      <c r="B176" s="907"/>
      <c r="C176" s="907"/>
      <c r="D176" s="839">
        <v>20</v>
      </c>
      <c r="E176" s="839">
        <v>20</v>
      </c>
      <c r="F176" s="839"/>
      <c r="G176" s="839">
        <v>20</v>
      </c>
      <c r="H176" s="741">
        <v>0.86814999999999998</v>
      </c>
      <c r="I176" s="839"/>
      <c r="J176" s="839"/>
      <c r="K176" s="839"/>
      <c r="L176" s="839"/>
      <c r="M176" s="741">
        <v>0.88297499999999995</v>
      </c>
      <c r="N176" s="839"/>
      <c r="O176" s="839"/>
      <c r="P176" s="839"/>
      <c r="Q176" s="839"/>
    </row>
    <row r="177" spans="1:17" s="3" customFormat="1" ht="14.5" customHeight="1">
      <c r="A177" s="907" t="s">
        <v>85</v>
      </c>
      <c r="B177" s="907"/>
      <c r="C177" s="907"/>
      <c r="D177" s="839" t="s">
        <v>86</v>
      </c>
      <c r="E177" s="839" t="s">
        <v>86</v>
      </c>
      <c r="F177" s="839"/>
      <c r="G177" s="839" t="s">
        <v>86</v>
      </c>
      <c r="H177" s="839">
        <f>AVERAGE(H157:L176)</f>
        <v>0.86723760000000016</v>
      </c>
      <c r="I177" s="839"/>
      <c r="J177" s="839"/>
      <c r="K177" s="839"/>
      <c r="L177" s="839"/>
      <c r="M177" s="839">
        <f>AVERAGE(M157:Q176)</f>
        <v>0.88172910000000004</v>
      </c>
      <c r="N177" s="839"/>
      <c r="O177" s="839"/>
      <c r="P177" s="839"/>
      <c r="Q177" s="839"/>
    </row>
    <row r="178" spans="1:17" s="3" customFormat="1" ht="14.5" customHeight="1">
      <c r="A178" s="907"/>
      <c r="B178" s="907"/>
      <c r="C178" s="907"/>
      <c r="D178" s="839" t="s">
        <v>4</v>
      </c>
      <c r="E178" s="839" t="s">
        <v>4</v>
      </c>
      <c r="F178" s="839"/>
      <c r="G178" s="839" t="s">
        <v>4</v>
      </c>
      <c r="H178" s="839">
        <f>STDEV(H157:L176)</f>
        <v>1.2106311707447998E-3</v>
      </c>
      <c r="I178" s="839"/>
      <c r="J178" s="839"/>
      <c r="K178" s="839"/>
      <c r="L178" s="839"/>
      <c r="M178" s="839">
        <f>STDEV(M157:Q176)</f>
        <v>1.8213686843169647E-3</v>
      </c>
      <c r="N178" s="839"/>
      <c r="O178" s="839"/>
      <c r="P178" s="839"/>
      <c r="Q178" s="839"/>
    </row>
    <row r="179" spans="1:17" s="3" customFormat="1">
      <c r="A179" s="907"/>
      <c r="B179" s="907"/>
      <c r="C179" s="907"/>
      <c r="D179" s="839" t="s">
        <v>5</v>
      </c>
      <c r="E179" s="839" t="s">
        <v>5</v>
      </c>
      <c r="F179" s="839"/>
      <c r="G179" s="839" t="s">
        <v>5</v>
      </c>
      <c r="H179" s="911">
        <f>H178/H177</f>
        <v>1.3959625029459049E-3</v>
      </c>
      <c r="I179" s="911"/>
      <c r="J179" s="911"/>
      <c r="K179" s="911"/>
      <c r="L179" s="911"/>
      <c r="M179" s="911">
        <f>M178/M177</f>
        <v>2.0656783181103636E-3</v>
      </c>
      <c r="N179" s="911"/>
      <c r="O179" s="911"/>
      <c r="P179" s="911"/>
      <c r="Q179" s="911"/>
    </row>
    <row r="180" spans="1:17" s="3" customFormat="1" ht="15">
      <c r="A180" s="907"/>
      <c r="B180" s="907"/>
      <c r="C180" s="907"/>
      <c r="D180" s="909" t="s">
        <v>89</v>
      </c>
      <c r="E180" s="909"/>
      <c r="F180" s="909"/>
      <c r="G180" s="909"/>
      <c r="H180" s="912" t="s">
        <v>165</v>
      </c>
      <c r="I180" s="912"/>
      <c r="J180" s="912"/>
      <c r="K180" s="912"/>
      <c r="L180" s="912"/>
      <c r="M180" s="912" t="s">
        <v>165</v>
      </c>
      <c r="N180" s="912"/>
      <c r="O180" s="912"/>
      <c r="P180" s="912"/>
      <c r="Q180" s="912"/>
    </row>
    <row r="181" spans="1:17" s="3" customFormat="1" ht="15">
      <c r="A181" s="907"/>
      <c r="B181" s="907"/>
      <c r="C181" s="907"/>
      <c r="D181" s="910" t="s">
        <v>44</v>
      </c>
      <c r="E181" s="910"/>
      <c r="F181" s="910"/>
      <c r="G181" s="910"/>
      <c r="H181" s="910" t="str">
        <f>IF(COUNTIF(H179, "&lt;=1.5%"), "Pass", "Fail")</f>
        <v>Pass</v>
      </c>
      <c r="I181" s="910"/>
      <c r="J181" s="910"/>
      <c r="K181" s="910"/>
      <c r="L181" s="910"/>
      <c r="M181" s="910" t="str">
        <f>IF(COUNTIF(M179, "&lt;=1.5%"), "Pass", "Fail")</f>
        <v>Pass</v>
      </c>
      <c r="N181" s="910"/>
      <c r="O181" s="910"/>
      <c r="P181" s="910"/>
      <c r="Q181" s="910"/>
    </row>
    <row r="182" spans="1:17" s="3" customFormat="1">
      <c r="A182" s="908" t="s">
        <v>371</v>
      </c>
      <c r="B182" s="908"/>
      <c r="C182" s="908"/>
      <c r="D182" s="908"/>
      <c r="E182" s="908"/>
      <c r="F182" s="908"/>
      <c r="G182" s="908"/>
      <c r="H182" s="908"/>
      <c r="I182" s="908"/>
      <c r="J182" s="908"/>
      <c r="K182" s="908"/>
      <c r="L182" s="908"/>
      <c r="M182" s="908"/>
      <c r="N182" s="908"/>
      <c r="O182" s="908"/>
      <c r="P182" s="908"/>
      <c r="Q182" s="908"/>
    </row>
    <row r="183" spans="1:17" s="3" customFormat="1" ht="37.5" customHeight="1">
      <c r="A183" s="896" t="s">
        <v>347</v>
      </c>
      <c r="B183" s="896"/>
      <c r="C183" s="896"/>
      <c r="D183" s="896"/>
      <c r="E183" s="896"/>
      <c r="F183" s="896"/>
      <c r="G183" s="896"/>
      <c r="H183" s="896"/>
      <c r="I183" s="896"/>
      <c r="J183" s="896"/>
      <c r="K183" s="896"/>
      <c r="L183" s="896"/>
      <c r="M183" s="896"/>
      <c r="N183" s="896"/>
      <c r="O183" s="896"/>
      <c r="P183" s="896"/>
      <c r="Q183" s="896"/>
    </row>
    <row r="184" spans="1:17" s="3" customFormat="1" ht="15">
      <c r="A184" s="872" t="s">
        <v>71</v>
      </c>
      <c r="B184" s="872"/>
      <c r="C184" s="872"/>
      <c r="D184" s="872"/>
      <c r="E184" s="872"/>
      <c r="F184" s="872"/>
      <c r="G184" s="872"/>
      <c r="H184" s="814" t="s">
        <v>265</v>
      </c>
      <c r="I184" s="815"/>
      <c r="J184" s="815"/>
      <c r="K184" s="815"/>
      <c r="L184" s="815"/>
      <c r="M184" s="815"/>
      <c r="N184" s="815"/>
      <c r="O184" s="815"/>
      <c r="P184" s="815"/>
      <c r="Q184" s="816"/>
    </row>
    <row r="185" spans="1:17" s="3" customFormat="1" ht="14.5" customHeight="1">
      <c r="A185" s="675" t="s">
        <v>269</v>
      </c>
      <c r="B185" s="676"/>
      <c r="C185" s="677"/>
      <c r="D185" s="906" t="s">
        <v>257</v>
      </c>
      <c r="E185" s="906"/>
      <c r="F185" s="906"/>
      <c r="G185" s="906"/>
      <c r="H185" s="894" t="s">
        <v>83</v>
      </c>
      <c r="I185" s="894"/>
      <c r="J185" s="894"/>
      <c r="K185" s="894"/>
      <c r="L185" s="894"/>
      <c r="M185" s="906" t="s">
        <v>84</v>
      </c>
      <c r="N185" s="906"/>
      <c r="O185" s="906"/>
      <c r="P185" s="906"/>
      <c r="Q185" s="906"/>
    </row>
    <row r="186" spans="1:17" s="3" customFormat="1" ht="14.5" customHeight="1">
      <c r="A186" s="678"/>
      <c r="B186" s="679"/>
      <c r="C186" s="680"/>
      <c r="D186" s="839">
        <v>5</v>
      </c>
      <c r="E186" s="839"/>
      <c r="F186" s="839"/>
      <c r="G186" s="839"/>
      <c r="H186" s="741">
        <v>0.416765</v>
      </c>
      <c r="I186" s="837"/>
      <c r="J186" s="837"/>
      <c r="K186" s="837"/>
      <c r="L186" s="837"/>
      <c r="M186" s="741">
        <v>0.42289300000000002</v>
      </c>
      <c r="N186" s="838"/>
      <c r="O186" s="838"/>
      <c r="P186" s="838"/>
      <c r="Q186" s="838"/>
    </row>
    <row r="187" spans="1:17" s="3" customFormat="1" ht="14.5" customHeight="1">
      <c r="A187" s="678"/>
      <c r="B187" s="679"/>
      <c r="C187" s="680"/>
      <c r="D187" s="839">
        <v>6</v>
      </c>
      <c r="E187" s="839"/>
      <c r="F187" s="839"/>
      <c r="G187" s="839"/>
      <c r="H187" s="741">
        <v>0.41660399999999997</v>
      </c>
      <c r="I187" s="837"/>
      <c r="J187" s="837"/>
      <c r="K187" s="837"/>
      <c r="L187" s="837"/>
      <c r="M187" s="741">
        <v>0.42297200000000001</v>
      </c>
      <c r="N187" s="838"/>
      <c r="O187" s="838"/>
      <c r="P187" s="838"/>
      <c r="Q187" s="838"/>
    </row>
    <row r="188" spans="1:17" s="3" customFormat="1" ht="14.5" customHeight="1">
      <c r="A188" s="678"/>
      <c r="B188" s="679"/>
      <c r="C188" s="680"/>
      <c r="D188" s="839">
        <v>7</v>
      </c>
      <c r="E188" s="839"/>
      <c r="F188" s="839"/>
      <c r="G188" s="839"/>
      <c r="H188" s="741">
        <v>0.41669299999999998</v>
      </c>
      <c r="I188" s="837"/>
      <c r="J188" s="837"/>
      <c r="K188" s="837"/>
      <c r="L188" s="837"/>
      <c r="M188" s="741">
        <v>0.42294999999999999</v>
      </c>
      <c r="N188" s="838"/>
      <c r="O188" s="838"/>
      <c r="P188" s="838"/>
      <c r="Q188" s="838"/>
    </row>
    <row r="189" spans="1:17" s="3" customFormat="1" ht="14.5" customHeight="1">
      <c r="A189" s="678"/>
      <c r="B189" s="679"/>
      <c r="C189" s="680"/>
      <c r="D189" s="839">
        <v>8</v>
      </c>
      <c r="E189" s="839"/>
      <c r="F189" s="839"/>
      <c r="G189" s="839"/>
      <c r="H189" s="741">
        <v>0.41677399999999998</v>
      </c>
      <c r="I189" s="837"/>
      <c r="J189" s="837"/>
      <c r="K189" s="837"/>
      <c r="L189" s="837"/>
      <c r="M189" s="741">
        <v>0.42276900000000001</v>
      </c>
      <c r="N189" s="838"/>
      <c r="O189" s="838"/>
      <c r="P189" s="838"/>
      <c r="Q189" s="838"/>
    </row>
    <row r="190" spans="1:17" s="3" customFormat="1" ht="14.5" customHeight="1">
      <c r="A190" s="678"/>
      <c r="B190" s="679"/>
      <c r="C190" s="680"/>
      <c r="D190" s="839">
        <v>9</v>
      </c>
      <c r="E190" s="839"/>
      <c r="F190" s="839"/>
      <c r="G190" s="839"/>
      <c r="H190" s="741">
        <v>0.41691800000000001</v>
      </c>
      <c r="I190" s="837"/>
      <c r="J190" s="837"/>
      <c r="K190" s="837"/>
      <c r="L190" s="837"/>
      <c r="M190" s="741">
        <v>0.42275000000000001</v>
      </c>
      <c r="N190" s="838"/>
      <c r="O190" s="838"/>
      <c r="P190" s="838"/>
      <c r="Q190" s="838"/>
    </row>
    <row r="191" spans="1:17" s="3" customFormat="1" ht="14.5" customHeight="1">
      <c r="A191" s="678"/>
      <c r="B191" s="679"/>
      <c r="C191" s="680"/>
      <c r="D191" s="839">
        <v>10</v>
      </c>
      <c r="E191" s="839"/>
      <c r="F191" s="839"/>
      <c r="G191" s="839"/>
      <c r="H191" s="741">
        <v>0.41687200000000002</v>
      </c>
      <c r="I191" s="837"/>
      <c r="J191" s="837"/>
      <c r="K191" s="837"/>
      <c r="L191" s="837"/>
      <c r="M191" s="741">
        <v>0.42291400000000001</v>
      </c>
      <c r="N191" s="838"/>
      <c r="O191" s="838"/>
      <c r="P191" s="838"/>
      <c r="Q191" s="838"/>
    </row>
    <row r="192" spans="1:17" s="3" customFormat="1" ht="14.5" customHeight="1">
      <c r="A192" s="678"/>
      <c r="B192" s="679"/>
      <c r="C192" s="680"/>
      <c r="D192" s="839">
        <v>11</v>
      </c>
      <c r="E192" s="839"/>
      <c r="F192" s="839"/>
      <c r="G192" s="839"/>
      <c r="H192" s="741">
        <v>0.41678700000000002</v>
      </c>
      <c r="I192" s="837"/>
      <c r="J192" s="837"/>
      <c r="K192" s="837"/>
      <c r="L192" s="837"/>
      <c r="M192" s="741">
        <v>0.42279899999999998</v>
      </c>
      <c r="N192" s="838"/>
      <c r="O192" s="838"/>
      <c r="P192" s="838"/>
      <c r="Q192" s="838"/>
    </row>
    <row r="193" spans="1:17" s="3" customFormat="1" ht="14.5" customHeight="1">
      <c r="A193" s="678"/>
      <c r="B193" s="679"/>
      <c r="C193" s="680"/>
      <c r="D193" s="839">
        <v>12</v>
      </c>
      <c r="E193" s="839"/>
      <c r="F193" s="839"/>
      <c r="G193" s="839"/>
      <c r="H193" s="741">
        <v>0.41670499999999999</v>
      </c>
      <c r="I193" s="837"/>
      <c r="J193" s="837"/>
      <c r="K193" s="837"/>
      <c r="L193" s="837"/>
      <c r="M193" s="741">
        <v>0.42286400000000002</v>
      </c>
      <c r="N193" s="838"/>
      <c r="O193" s="838"/>
      <c r="P193" s="838"/>
      <c r="Q193" s="838"/>
    </row>
    <row r="194" spans="1:17" s="3" customFormat="1" ht="14.5" customHeight="1">
      <c r="A194" s="678"/>
      <c r="B194" s="679"/>
      <c r="C194" s="680"/>
      <c r="D194" s="839">
        <v>13</v>
      </c>
      <c r="E194" s="839"/>
      <c r="F194" s="839"/>
      <c r="G194" s="839"/>
      <c r="H194" s="741">
        <v>0.41672199999999998</v>
      </c>
      <c r="I194" s="837"/>
      <c r="J194" s="837"/>
      <c r="K194" s="837"/>
      <c r="L194" s="837"/>
      <c r="M194" s="741">
        <v>0.423041</v>
      </c>
      <c r="N194" s="838"/>
      <c r="O194" s="838"/>
      <c r="P194" s="838"/>
      <c r="Q194" s="838"/>
    </row>
    <row r="195" spans="1:17" s="3" customFormat="1" ht="14.5" customHeight="1">
      <c r="A195" s="678"/>
      <c r="B195" s="679"/>
      <c r="C195" s="680"/>
      <c r="D195" s="839">
        <v>14</v>
      </c>
      <c r="E195" s="839"/>
      <c r="F195" s="839"/>
      <c r="G195" s="839"/>
      <c r="H195" s="741">
        <v>0.416711</v>
      </c>
      <c r="I195" s="837"/>
      <c r="J195" s="837"/>
      <c r="K195" s="837"/>
      <c r="L195" s="837"/>
      <c r="M195" s="741">
        <v>0.42305100000000001</v>
      </c>
      <c r="N195" s="838"/>
      <c r="O195" s="838"/>
      <c r="P195" s="838"/>
      <c r="Q195" s="838"/>
    </row>
    <row r="196" spans="1:17" s="3" customFormat="1" ht="14.5" customHeight="1">
      <c r="A196" s="678"/>
      <c r="B196" s="679"/>
      <c r="C196" s="680"/>
      <c r="D196" s="839">
        <v>15</v>
      </c>
      <c r="E196" s="839"/>
      <c r="F196" s="839"/>
      <c r="G196" s="839"/>
      <c r="H196" s="741">
        <v>0.41666999999999998</v>
      </c>
      <c r="I196" s="837"/>
      <c r="J196" s="837"/>
      <c r="K196" s="837"/>
      <c r="L196" s="837"/>
      <c r="M196" s="741">
        <v>0.42294399999999999</v>
      </c>
      <c r="N196" s="838"/>
      <c r="O196" s="838"/>
      <c r="P196" s="838"/>
      <c r="Q196" s="838"/>
    </row>
    <row r="197" spans="1:17" s="3" customFormat="1" ht="14.5" customHeight="1">
      <c r="A197" s="678"/>
      <c r="B197" s="679"/>
      <c r="C197" s="680"/>
      <c r="D197" s="839">
        <v>16</v>
      </c>
      <c r="E197" s="839"/>
      <c r="F197" s="839"/>
      <c r="G197" s="839"/>
      <c r="H197" s="741">
        <v>0.41676400000000002</v>
      </c>
      <c r="I197" s="837"/>
      <c r="J197" s="837"/>
      <c r="K197" s="837"/>
      <c r="L197" s="837"/>
      <c r="M197" s="741">
        <v>0.42289500000000002</v>
      </c>
      <c r="N197" s="838"/>
      <c r="O197" s="838"/>
      <c r="P197" s="838"/>
      <c r="Q197" s="838"/>
    </row>
    <row r="198" spans="1:17" s="3" customFormat="1" ht="14.5" customHeight="1">
      <c r="A198" s="678"/>
      <c r="B198" s="679"/>
      <c r="C198" s="680"/>
      <c r="D198" s="839">
        <v>17</v>
      </c>
      <c r="E198" s="839"/>
      <c r="F198" s="839"/>
      <c r="G198" s="839"/>
      <c r="H198" s="741">
        <v>0.41674299999999997</v>
      </c>
      <c r="I198" s="837"/>
      <c r="J198" s="837"/>
      <c r="K198" s="837"/>
      <c r="L198" s="837"/>
      <c r="M198" s="741">
        <v>0.42298400000000003</v>
      </c>
      <c r="N198" s="838"/>
      <c r="O198" s="838"/>
      <c r="P198" s="838"/>
      <c r="Q198" s="838"/>
    </row>
    <row r="199" spans="1:17" s="3" customFormat="1" ht="14.5" customHeight="1">
      <c r="A199" s="678"/>
      <c r="B199" s="679"/>
      <c r="C199" s="680"/>
      <c r="D199" s="839">
        <v>18</v>
      </c>
      <c r="E199" s="839"/>
      <c r="F199" s="839"/>
      <c r="G199" s="839"/>
      <c r="H199" s="741">
        <v>0.41674</v>
      </c>
      <c r="I199" s="837"/>
      <c r="J199" s="837"/>
      <c r="K199" s="837"/>
      <c r="L199" s="837"/>
      <c r="M199" s="741">
        <v>0.42303299999999999</v>
      </c>
      <c r="N199" s="838"/>
      <c r="O199" s="838"/>
      <c r="P199" s="838"/>
      <c r="Q199" s="838"/>
    </row>
    <row r="200" spans="1:17" s="3" customFormat="1" ht="14.5" customHeight="1">
      <c r="A200" s="678"/>
      <c r="B200" s="679"/>
      <c r="C200" s="680"/>
      <c r="D200" s="839">
        <v>19</v>
      </c>
      <c r="E200" s="839"/>
      <c r="F200" s="839"/>
      <c r="G200" s="839"/>
      <c r="H200" s="741">
        <v>0.416848</v>
      </c>
      <c r="I200" s="837"/>
      <c r="J200" s="837"/>
      <c r="K200" s="837"/>
      <c r="L200" s="837"/>
      <c r="M200" s="741">
        <v>0.42302000000000001</v>
      </c>
      <c r="N200" s="838"/>
      <c r="O200" s="838"/>
      <c r="P200" s="838"/>
      <c r="Q200" s="838"/>
    </row>
    <row r="201" spans="1:17" s="3" customFormat="1" ht="14.5" customHeight="1">
      <c r="A201" s="678"/>
      <c r="B201" s="679"/>
      <c r="C201" s="680"/>
      <c r="D201" s="839">
        <v>20</v>
      </c>
      <c r="E201" s="839"/>
      <c r="F201" s="839"/>
      <c r="G201" s="839"/>
      <c r="H201" s="741">
        <v>0.41666399999999998</v>
      </c>
      <c r="I201" s="837"/>
      <c r="J201" s="837"/>
      <c r="K201" s="837"/>
      <c r="L201" s="837"/>
      <c r="M201" s="741">
        <v>0.42302499999999998</v>
      </c>
      <c r="N201" s="838"/>
      <c r="O201" s="838"/>
      <c r="P201" s="838"/>
      <c r="Q201" s="838"/>
    </row>
    <row r="202" spans="1:17" s="3" customFormat="1" ht="14.5" customHeight="1">
      <c r="A202" s="678"/>
      <c r="B202" s="679"/>
      <c r="C202" s="680"/>
      <c r="D202" s="839">
        <v>21</v>
      </c>
      <c r="E202" s="839"/>
      <c r="F202" s="839"/>
      <c r="G202" s="839"/>
      <c r="H202" s="741">
        <v>0.41673399999999999</v>
      </c>
      <c r="I202" s="837"/>
      <c r="J202" s="837"/>
      <c r="K202" s="837"/>
      <c r="L202" s="837"/>
      <c r="M202" s="741">
        <v>0.42296699999999998</v>
      </c>
      <c r="N202" s="838"/>
      <c r="O202" s="838"/>
      <c r="P202" s="838"/>
      <c r="Q202" s="838"/>
    </row>
    <row r="203" spans="1:17" s="3" customFormat="1" ht="14.5" customHeight="1">
      <c r="A203" s="678"/>
      <c r="B203" s="679"/>
      <c r="C203" s="680"/>
      <c r="D203" s="839">
        <v>22</v>
      </c>
      <c r="E203" s="839"/>
      <c r="F203" s="839"/>
      <c r="G203" s="839"/>
      <c r="H203" s="741">
        <v>0.41675000000000001</v>
      </c>
      <c r="I203" s="837"/>
      <c r="J203" s="837"/>
      <c r="K203" s="837"/>
      <c r="L203" s="837"/>
      <c r="M203" s="741">
        <v>0.42280099999999998</v>
      </c>
      <c r="N203" s="838"/>
      <c r="O203" s="838"/>
      <c r="P203" s="838"/>
      <c r="Q203" s="838"/>
    </row>
    <row r="204" spans="1:17" s="3" customFormat="1" ht="14.5" customHeight="1">
      <c r="A204" s="678"/>
      <c r="B204" s="679"/>
      <c r="C204" s="680"/>
      <c r="D204" s="839">
        <v>23</v>
      </c>
      <c r="E204" s="839"/>
      <c r="F204" s="839"/>
      <c r="G204" s="839"/>
      <c r="H204" s="741">
        <v>0.41671399999999997</v>
      </c>
      <c r="I204" s="837"/>
      <c r="J204" s="837"/>
      <c r="K204" s="837"/>
      <c r="L204" s="837"/>
      <c r="M204" s="741">
        <v>0.42301800000000001</v>
      </c>
      <c r="N204" s="838"/>
      <c r="O204" s="838"/>
      <c r="P204" s="838"/>
      <c r="Q204" s="838"/>
    </row>
    <row r="205" spans="1:17" s="3" customFormat="1" ht="14.5" customHeight="1">
      <c r="A205" s="678"/>
      <c r="B205" s="679"/>
      <c r="C205" s="680"/>
      <c r="D205" s="839">
        <v>24</v>
      </c>
      <c r="E205" s="839"/>
      <c r="F205" s="839"/>
      <c r="G205" s="839"/>
      <c r="H205" s="741">
        <v>0.416713</v>
      </c>
      <c r="I205" s="837"/>
      <c r="J205" s="837"/>
      <c r="K205" s="837"/>
      <c r="L205" s="837"/>
      <c r="M205" s="741">
        <v>0.42294500000000002</v>
      </c>
      <c r="N205" s="838"/>
      <c r="O205" s="838"/>
      <c r="P205" s="838"/>
      <c r="Q205" s="838"/>
    </row>
    <row r="206" spans="1:17" s="3" customFormat="1" ht="14.5" customHeight="1">
      <c r="A206" s="678"/>
      <c r="B206" s="679"/>
      <c r="C206" s="680"/>
      <c r="D206" s="839">
        <v>25</v>
      </c>
      <c r="E206" s="839"/>
      <c r="F206" s="839"/>
      <c r="G206" s="839"/>
      <c r="H206" s="741">
        <v>0.41695700000000002</v>
      </c>
      <c r="I206" s="837"/>
      <c r="J206" s="837"/>
      <c r="K206" s="837"/>
      <c r="L206" s="837"/>
      <c r="M206" s="741">
        <v>0.42297899999999999</v>
      </c>
      <c r="N206" s="838"/>
      <c r="O206" s="838"/>
      <c r="P206" s="838"/>
      <c r="Q206" s="838"/>
    </row>
    <row r="207" spans="1:17" s="3" customFormat="1" ht="14.5" customHeight="1">
      <c r="A207" s="678"/>
      <c r="B207" s="679"/>
      <c r="C207" s="680"/>
      <c r="D207" s="839">
        <v>26</v>
      </c>
      <c r="E207" s="839"/>
      <c r="F207" s="839"/>
      <c r="G207" s="839"/>
      <c r="H207" s="741">
        <v>0.416711</v>
      </c>
      <c r="I207" s="837"/>
      <c r="J207" s="837"/>
      <c r="K207" s="837"/>
      <c r="L207" s="837"/>
      <c r="M207" s="741">
        <v>0.42288700000000001</v>
      </c>
      <c r="N207" s="838"/>
      <c r="O207" s="838"/>
      <c r="P207" s="838"/>
      <c r="Q207" s="838"/>
    </row>
    <row r="208" spans="1:17" s="3" customFormat="1" ht="14.5" customHeight="1">
      <c r="A208" s="678"/>
      <c r="B208" s="679"/>
      <c r="C208" s="680"/>
      <c r="D208" s="839">
        <v>27</v>
      </c>
      <c r="E208" s="839"/>
      <c r="F208" s="839"/>
      <c r="G208" s="839"/>
      <c r="H208" s="741">
        <v>0.41680099999999998</v>
      </c>
      <c r="I208" s="837"/>
      <c r="J208" s="837"/>
      <c r="K208" s="837"/>
      <c r="L208" s="837"/>
      <c r="M208" s="741">
        <v>0.42295700000000003</v>
      </c>
      <c r="N208" s="838"/>
      <c r="O208" s="838"/>
      <c r="P208" s="838"/>
      <c r="Q208" s="838"/>
    </row>
    <row r="209" spans="1:17" s="3" customFormat="1" ht="14.5" customHeight="1">
      <c r="A209" s="678" t="s">
        <v>269</v>
      </c>
      <c r="B209" s="679"/>
      <c r="C209" s="680"/>
      <c r="D209" s="839">
        <v>28</v>
      </c>
      <c r="E209" s="839"/>
      <c r="F209" s="839"/>
      <c r="G209" s="839"/>
      <c r="H209" s="741">
        <v>0.416856</v>
      </c>
      <c r="I209" s="817"/>
      <c r="J209" s="817"/>
      <c r="K209" s="817"/>
      <c r="L209" s="818"/>
      <c r="M209" s="741">
        <v>0.42302000000000001</v>
      </c>
      <c r="N209" s="848"/>
      <c r="O209" s="848"/>
      <c r="P209" s="848"/>
      <c r="Q209" s="849"/>
    </row>
    <row r="210" spans="1:17" s="3" customFormat="1" ht="14.5" customHeight="1">
      <c r="A210" s="678"/>
      <c r="B210" s="679"/>
      <c r="C210" s="680"/>
      <c r="D210" s="839">
        <v>29</v>
      </c>
      <c r="E210" s="839"/>
      <c r="F210" s="839"/>
      <c r="G210" s="839"/>
      <c r="H210" s="741">
        <v>0.41677999999999998</v>
      </c>
      <c r="I210" s="817"/>
      <c r="J210" s="817"/>
      <c r="K210" s="817"/>
      <c r="L210" s="818"/>
      <c r="M210" s="741">
        <v>0.42300300000000002</v>
      </c>
      <c r="N210" s="848"/>
      <c r="O210" s="848"/>
      <c r="P210" s="848"/>
      <c r="Q210" s="849"/>
    </row>
    <row r="211" spans="1:17" s="3" customFormat="1" ht="14.5" customHeight="1">
      <c r="A211" s="678"/>
      <c r="B211" s="679"/>
      <c r="C211" s="680"/>
      <c r="D211" s="839">
        <v>30</v>
      </c>
      <c r="E211" s="839"/>
      <c r="F211" s="839"/>
      <c r="G211" s="839"/>
      <c r="H211" s="741">
        <v>0.41694700000000001</v>
      </c>
      <c r="I211" s="817"/>
      <c r="J211" s="817"/>
      <c r="K211" s="817"/>
      <c r="L211" s="818"/>
      <c r="M211" s="741">
        <v>0.42293599999999998</v>
      </c>
      <c r="N211" s="848"/>
      <c r="O211" s="848"/>
      <c r="P211" s="848"/>
      <c r="Q211" s="849"/>
    </row>
    <row r="212" spans="1:17" s="3" customFormat="1" ht="14.5" customHeight="1">
      <c r="A212" s="678"/>
      <c r="B212" s="679"/>
      <c r="C212" s="680"/>
      <c r="D212" s="839">
        <v>31</v>
      </c>
      <c r="E212" s="839"/>
      <c r="F212" s="839"/>
      <c r="G212" s="839"/>
      <c r="H212" s="741">
        <v>0.41691400000000001</v>
      </c>
      <c r="I212" s="817"/>
      <c r="J212" s="817"/>
      <c r="K212" s="817"/>
      <c r="L212" s="818"/>
      <c r="M212" s="741">
        <v>0.422902</v>
      </c>
      <c r="N212" s="848"/>
      <c r="O212" s="848"/>
      <c r="P212" s="848"/>
      <c r="Q212" s="849"/>
    </row>
    <row r="213" spans="1:17" s="3" customFormat="1" ht="14.5" customHeight="1">
      <c r="A213" s="678"/>
      <c r="B213" s="679"/>
      <c r="C213" s="680"/>
      <c r="D213" s="839">
        <v>32</v>
      </c>
      <c r="E213" s="839"/>
      <c r="F213" s="839"/>
      <c r="G213" s="839"/>
      <c r="H213" s="741">
        <v>0.41684300000000002</v>
      </c>
      <c r="I213" s="817"/>
      <c r="J213" s="817"/>
      <c r="K213" s="817"/>
      <c r="L213" s="818"/>
      <c r="M213" s="741">
        <v>0.42303800000000003</v>
      </c>
      <c r="N213" s="848"/>
      <c r="O213" s="848"/>
      <c r="P213" s="848"/>
      <c r="Q213" s="849"/>
    </row>
    <row r="214" spans="1:17" s="3" customFormat="1" ht="14.5" customHeight="1">
      <c r="A214" s="678"/>
      <c r="B214" s="679"/>
      <c r="C214" s="680"/>
      <c r="D214" s="839">
        <v>33</v>
      </c>
      <c r="E214" s="839"/>
      <c r="F214" s="839"/>
      <c r="G214" s="839"/>
      <c r="H214" s="741">
        <v>0.41687400000000002</v>
      </c>
      <c r="I214" s="837"/>
      <c r="J214" s="837"/>
      <c r="K214" s="837"/>
      <c r="L214" s="837"/>
      <c r="M214" s="741">
        <v>0.42299300000000001</v>
      </c>
      <c r="N214" s="838"/>
      <c r="O214" s="838"/>
      <c r="P214" s="838"/>
      <c r="Q214" s="838"/>
    </row>
    <row r="215" spans="1:17" s="3" customFormat="1" ht="14.5" customHeight="1">
      <c r="A215" s="678"/>
      <c r="B215" s="679"/>
      <c r="C215" s="680"/>
      <c r="D215" s="839">
        <v>34</v>
      </c>
      <c r="E215" s="839"/>
      <c r="F215" s="839"/>
      <c r="G215" s="839"/>
      <c r="H215" s="741">
        <v>0.416912</v>
      </c>
      <c r="I215" s="837"/>
      <c r="J215" s="837"/>
      <c r="K215" s="837"/>
      <c r="L215" s="837"/>
      <c r="M215" s="741">
        <v>0.42302200000000001</v>
      </c>
      <c r="N215" s="838"/>
      <c r="O215" s="838"/>
      <c r="P215" s="838"/>
      <c r="Q215" s="838"/>
    </row>
    <row r="216" spans="1:17" s="3" customFormat="1" ht="14.5" customHeight="1">
      <c r="A216" s="678"/>
      <c r="B216" s="679"/>
      <c r="C216" s="680"/>
      <c r="D216" s="839">
        <v>35</v>
      </c>
      <c r="E216" s="839"/>
      <c r="F216" s="839"/>
      <c r="G216" s="839"/>
      <c r="H216" s="741">
        <v>0.41703099999999999</v>
      </c>
      <c r="I216" s="837"/>
      <c r="J216" s="837"/>
      <c r="K216" s="837"/>
      <c r="L216" s="837"/>
      <c r="M216" s="741">
        <v>0.42308000000000001</v>
      </c>
      <c r="N216" s="838"/>
      <c r="O216" s="838"/>
      <c r="P216" s="838"/>
      <c r="Q216" s="838"/>
    </row>
    <row r="217" spans="1:17" s="3" customFormat="1" ht="14.5" customHeight="1">
      <c r="A217" s="678"/>
      <c r="B217" s="679"/>
      <c r="C217" s="680"/>
      <c r="D217" s="839">
        <v>36</v>
      </c>
      <c r="E217" s="839"/>
      <c r="F217" s="839"/>
      <c r="G217" s="839"/>
      <c r="H217" s="741">
        <v>0.41703499999999999</v>
      </c>
      <c r="I217" s="837"/>
      <c r="J217" s="837"/>
      <c r="K217" s="837"/>
      <c r="L217" s="837"/>
      <c r="M217" s="741">
        <v>0.42308499999999999</v>
      </c>
      <c r="N217" s="838"/>
      <c r="O217" s="838"/>
      <c r="P217" s="838"/>
      <c r="Q217" s="838"/>
    </row>
    <row r="218" spans="1:17" s="3" customFormat="1" ht="14.5" customHeight="1">
      <c r="A218" s="678"/>
      <c r="B218" s="679"/>
      <c r="C218" s="680"/>
      <c r="D218" s="839">
        <v>37</v>
      </c>
      <c r="E218" s="839"/>
      <c r="F218" s="839"/>
      <c r="G218" s="839"/>
      <c r="H218" s="741">
        <v>0.41697499999999998</v>
      </c>
      <c r="I218" s="817"/>
      <c r="J218" s="817"/>
      <c r="K218" s="817"/>
      <c r="L218" s="818"/>
      <c r="M218" s="741">
        <v>0.42306500000000002</v>
      </c>
      <c r="N218" s="848"/>
      <c r="O218" s="848"/>
      <c r="P218" s="848"/>
      <c r="Q218" s="849"/>
    </row>
    <row r="219" spans="1:17" s="3" customFormat="1" ht="15" customHeight="1">
      <c r="A219" s="681"/>
      <c r="B219" s="682"/>
      <c r="C219" s="683"/>
      <c r="D219" s="839">
        <v>38</v>
      </c>
      <c r="E219" s="839"/>
      <c r="F219" s="839"/>
      <c r="G219" s="839"/>
      <c r="H219" s="741">
        <v>0.41697699999999999</v>
      </c>
      <c r="I219" s="837"/>
      <c r="J219" s="837"/>
      <c r="K219" s="837"/>
      <c r="L219" s="837"/>
      <c r="M219" s="741">
        <v>0.42310300000000001</v>
      </c>
      <c r="N219" s="838"/>
      <c r="O219" s="838"/>
      <c r="P219" s="838"/>
      <c r="Q219" s="838"/>
    </row>
    <row r="220" spans="1:17" s="3" customFormat="1">
      <c r="A220" s="871" t="s">
        <v>90</v>
      </c>
      <c r="B220" s="871"/>
      <c r="C220" s="871"/>
      <c r="D220" s="839" t="s">
        <v>91</v>
      </c>
      <c r="E220" s="839"/>
      <c r="F220" s="839"/>
      <c r="G220" s="839"/>
      <c r="H220" s="858">
        <f>MAX(H186:L219)</f>
        <v>0.41703499999999999</v>
      </c>
      <c r="I220" s="858"/>
      <c r="J220" s="858"/>
      <c r="K220" s="858"/>
      <c r="L220" s="858"/>
      <c r="M220" s="858">
        <f>MAX(M186:Q219)</f>
        <v>0.42310300000000001</v>
      </c>
      <c r="N220" s="858"/>
      <c r="O220" s="858"/>
      <c r="P220" s="858"/>
      <c r="Q220" s="858"/>
    </row>
    <row r="221" spans="1:17" s="3" customFormat="1">
      <c r="A221" s="871"/>
      <c r="B221" s="871"/>
      <c r="C221" s="871"/>
      <c r="D221" s="839" t="s">
        <v>92</v>
      </c>
      <c r="E221" s="839"/>
      <c r="F221" s="839"/>
      <c r="G221" s="839"/>
      <c r="H221" s="858">
        <f>MIN(H186:L219)</f>
        <v>0.41660399999999997</v>
      </c>
      <c r="I221" s="858"/>
      <c r="J221" s="858"/>
      <c r="K221" s="858"/>
      <c r="L221" s="858"/>
      <c r="M221" s="858">
        <f>MIN(M186:Q219)</f>
        <v>0.42275000000000001</v>
      </c>
      <c r="N221" s="858"/>
      <c r="O221" s="858"/>
      <c r="P221" s="858"/>
      <c r="Q221" s="858"/>
    </row>
    <row r="222" spans="1:17" s="3" customFormat="1">
      <c r="A222" s="871"/>
      <c r="B222" s="871"/>
      <c r="C222" s="871"/>
      <c r="D222" s="839" t="s">
        <v>93</v>
      </c>
      <c r="E222" s="839"/>
      <c r="F222" s="839"/>
      <c r="G222" s="839"/>
      <c r="H222" s="858">
        <f>H220-H221</f>
        <v>4.310000000000147E-4</v>
      </c>
      <c r="I222" s="858"/>
      <c r="J222" s="858"/>
      <c r="K222" s="858"/>
      <c r="L222" s="858"/>
      <c r="M222" s="858">
        <f>M220-M221</f>
        <v>3.5299999999999221E-4</v>
      </c>
      <c r="N222" s="858"/>
      <c r="O222" s="858"/>
      <c r="P222" s="858"/>
      <c r="Q222" s="858"/>
    </row>
    <row r="223" spans="1:17" s="3" customFormat="1">
      <c r="A223" s="871"/>
      <c r="B223" s="871"/>
      <c r="C223" s="871"/>
      <c r="D223" s="839" t="s">
        <v>65</v>
      </c>
      <c r="E223" s="839"/>
      <c r="F223" s="839"/>
      <c r="G223" s="839"/>
      <c r="H223" s="858" t="s">
        <v>203</v>
      </c>
      <c r="I223" s="858"/>
      <c r="J223" s="858"/>
      <c r="K223" s="858"/>
      <c r="L223" s="858"/>
      <c r="M223" s="858" t="s">
        <v>203</v>
      </c>
      <c r="N223" s="858"/>
      <c r="O223" s="858"/>
      <c r="P223" s="858"/>
      <c r="Q223" s="858"/>
    </row>
    <row r="224" spans="1:17" s="3" customFormat="1">
      <c r="A224" s="871"/>
      <c r="B224" s="871"/>
      <c r="C224" s="871"/>
      <c r="D224" s="839" t="s">
        <v>6</v>
      </c>
      <c r="E224" s="839"/>
      <c r="F224" s="839"/>
      <c r="G224" s="839"/>
      <c r="H224" s="858" t="str">
        <f>IF(H222&lt;=0.01,"Pass","Fail")</f>
        <v>Pass</v>
      </c>
      <c r="I224" s="858"/>
      <c r="J224" s="858"/>
      <c r="K224" s="858"/>
      <c r="L224" s="858"/>
      <c r="M224" s="858" t="str">
        <f>IF(M222&lt;=0.01,"Pass","Fail")</f>
        <v>Pass</v>
      </c>
      <c r="N224" s="858"/>
      <c r="O224" s="858"/>
      <c r="P224" s="858"/>
      <c r="Q224" s="858"/>
    </row>
    <row r="225" spans="1:17" s="3" customFormat="1" ht="14.5">
      <c r="A225" s="793" t="s">
        <v>235</v>
      </c>
      <c r="B225" s="793"/>
      <c r="C225" s="793"/>
      <c r="D225" s="793"/>
      <c r="E225" s="793"/>
      <c r="F225" s="793"/>
      <c r="G225" s="793"/>
      <c r="H225" s="793"/>
      <c r="I225" s="793"/>
      <c r="J225" s="793"/>
      <c r="K225" s="793"/>
      <c r="L225" s="793"/>
      <c r="M225" s="793"/>
      <c r="N225" s="793"/>
      <c r="O225" s="793"/>
      <c r="P225" s="793"/>
      <c r="Q225" s="793"/>
    </row>
    <row r="226" spans="1:17" s="3" customFormat="1" ht="14.25" customHeight="1">
      <c r="A226" s="872" t="s">
        <v>71</v>
      </c>
      <c r="B226" s="872"/>
      <c r="C226" s="872"/>
      <c r="D226" s="872"/>
      <c r="E226" s="872"/>
      <c r="F226" s="872"/>
      <c r="G226" s="872"/>
      <c r="H226" s="814" t="s">
        <v>94</v>
      </c>
      <c r="I226" s="815"/>
      <c r="J226" s="815"/>
      <c r="K226" s="815"/>
      <c r="L226" s="815"/>
      <c r="M226" s="815"/>
      <c r="N226" s="815"/>
      <c r="O226" s="815"/>
      <c r="P226" s="815"/>
      <c r="Q226" s="816"/>
    </row>
    <row r="227" spans="1:17" s="3" customFormat="1" ht="14.25" customHeight="1">
      <c r="A227" s="907" t="s">
        <v>72</v>
      </c>
      <c r="B227" s="907"/>
      <c r="C227" s="907"/>
      <c r="D227" s="906" t="s">
        <v>257</v>
      </c>
      <c r="E227" s="906"/>
      <c r="F227" s="906"/>
      <c r="G227" s="906"/>
      <c r="H227" s="894" t="s">
        <v>83</v>
      </c>
      <c r="I227" s="894"/>
      <c r="J227" s="894"/>
      <c r="K227" s="894"/>
      <c r="L227" s="894"/>
      <c r="M227" s="906" t="s">
        <v>84</v>
      </c>
      <c r="N227" s="906"/>
      <c r="O227" s="906"/>
      <c r="P227" s="906"/>
      <c r="Q227" s="906"/>
    </row>
    <row r="228" spans="1:17" s="3" customFormat="1">
      <c r="A228" s="907"/>
      <c r="B228" s="907"/>
      <c r="C228" s="907"/>
      <c r="D228" s="839">
        <v>5</v>
      </c>
      <c r="E228" s="839"/>
      <c r="F228" s="839"/>
      <c r="G228" s="839"/>
      <c r="H228" s="741">
        <v>0.49288199999999999</v>
      </c>
      <c r="I228" s="837"/>
      <c r="J228" s="837"/>
      <c r="K228" s="837"/>
      <c r="L228" s="837"/>
      <c r="M228" s="741">
        <v>0.49048199999999997</v>
      </c>
      <c r="N228" s="838"/>
      <c r="O228" s="838"/>
      <c r="P228" s="838"/>
      <c r="Q228" s="838"/>
    </row>
    <row r="229" spans="1:17" s="3" customFormat="1">
      <c r="A229" s="907"/>
      <c r="B229" s="907"/>
      <c r="C229" s="907"/>
      <c r="D229" s="839">
        <v>6</v>
      </c>
      <c r="E229" s="839"/>
      <c r="F229" s="839"/>
      <c r="G229" s="839"/>
      <c r="H229" s="741">
        <v>0.49315500000000001</v>
      </c>
      <c r="I229" s="837"/>
      <c r="J229" s="837"/>
      <c r="K229" s="837"/>
      <c r="L229" s="837"/>
      <c r="M229" s="741">
        <v>0.490929</v>
      </c>
      <c r="N229" s="838"/>
      <c r="O229" s="838"/>
      <c r="P229" s="838"/>
      <c r="Q229" s="838"/>
    </row>
    <row r="230" spans="1:17" s="3" customFormat="1">
      <c r="A230" s="907"/>
      <c r="B230" s="907"/>
      <c r="C230" s="907"/>
      <c r="D230" s="839">
        <v>7</v>
      </c>
      <c r="E230" s="839"/>
      <c r="F230" s="839"/>
      <c r="G230" s="839"/>
      <c r="H230" s="741">
        <v>0.493201</v>
      </c>
      <c r="I230" s="837"/>
      <c r="J230" s="837"/>
      <c r="K230" s="837"/>
      <c r="L230" s="837"/>
      <c r="M230" s="741">
        <v>0.49110599999999999</v>
      </c>
      <c r="N230" s="838"/>
      <c r="O230" s="838"/>
      <c r="P230" s="838"/>
      <c r="Q230" s="838"/>
    </row>
    <row r="231" spans="1:17" s="3" customFormat="1">
      <c r="A231" s="907"/>
      <c r="B231" s="907"/>
      <c r="C231" s="907"/>
      <c r="D231" s="839">
        <v>8</v>
      </c>
      <c r="E231" s="839"/>
      <c r="F231" s="839"/>
      <c r="G231" s="839"/>
      <c r="H231" s="741">
        <v>0.49334699999999998</v>
      </c>
      <c r="I231" s="837"/>
      <c r="J231" s="837"/>
      <c r="K231" s="837"/>
      <c r="L231" s="837"/>
      <c r="M231" s="741">
        <v>0.49113800000000002</v>
      </c>
      <c r="N231" s="838"/>
      <c r="O231" s="838"/>
      <c r="P231" s="838"/>
      <c r="Q231" s="838"/>
    </row>
    <row r="232" spans="1:17" s="3" customFormat="1">
      <c r="A232" s="907"/>
      <c r="B232" s="907"/>
      <c r="C232" s="907"/>
      <c r="D232" s="839">
        <v>9</v>
      </c>
      <c r="E232" s="839"/>
      <c r="F232" s="839"/>
      <c r="G232" s="839"/>
      <c r="H232" s="741">
        <v>0.49317299999999997</v>
      </c>
      <c r="I232" s="837"/>
      <c r="J232" s="837"/>
      <c r="K232" s="837"/>
      <c r="L232" s="837"/>
      <c r="M232" s="741">
        <v>0.49116700000000002</v>
      </c>
      <c r="N232" s="838"/>
      <c r="O232" s="838"/>
      <c r="P232" s="838"/>
      <c r="Q232" s="838"/>
    </row>
    <row r="233" spans="1:17" s="3" customFormat="1">
      <c r="A233" s="907"/>
      <c r="B233" s="907"/>
      <c r="C233" s="907"/>
      <c r="D233" s="839">
        <v>10</v>
      </c>
      <c r="E233" s="839"/>
      <c r="F233" s="839"/>
      <c r="G233" s="839"/>
      <c r="H233" s="741">
        <v>0.49323299999999998</v>
      </c>
      <c r="I233" s="837"/>
      <c r="J233" s="837"/>
      <c r="K233" s="837"/>
      <c r="L233" s="837"/>
      <c r="M233" s="741">
        <v>0.49117</v>
      </c>
      <c r="N233" s="838"/>
      <c r="O233" s="838"/>
      <c r="P233" s="838"/>
      <c r="Q233" s="838"/>
    </row>
    <row r="234" spans="1:17" s="3" customFormat="1">
      <c r="A234" s="907"/>
      <c r="B234" s="907"/>
      <c r="C234" s="907"/>
      <c r="D234" s="839">
        <v>11</v>
      </c>
      <c r="E234" s="839"/>
      <c r="F234" s="839"/>
      <c r="G234" s="839"/>
      <c r="H234" s="741">
        <v>0.49310100000000001</v>
      </c>
      <c r="I234" s="837"/>
      <c r="J234" s="837"/>
      <c r="K234" s="837"/>
      <c r="L234" s="837"/>
      <c r="M234" s="741">
        <v>0.49114600000000003</v>
      </c>
      <c r="N234" s="838"/>
      <c r="O234" s="838"/>
      <c r="P234" s="838"/>
      <c r="Q234" s="838"/>
    </row>
    <row r="235" spans="1:17" s="3" customFormat="1">
      <c r="A235" s="907"/>
      <c r="B235" s="907"/>
      <c r="C235" s="907"/>
      <c r="D235" s="839">
        <v>12</v>
      </c>
      <c r="E235" s="839"/>
      <c r="F235" s="839"/>
      <c r="G235" s="839"/>
      <c r="H235" s="741">
        <v>0.49315199999999998</v>
      </c>
      <c r="I235" s="837"/>
      <c r="J235" s="837"/>
      <c r="K235" s="837"/>
      <c r="L235" s="837"/>
      <c r="M235" s="741">
        <v>0.491118</v>
      </c>
      <c r="N235" s="838"/>
      <c r="O235" s="838"/>
      <c r="P235" s="838"/>
      <c r="Q235" s="838"/>
    </row>
    <row r="236" spans="1:17" s="3" customFormat="1">
      <c r="A236" s="907"/>
      <c r="B236" s="907"/>
      <c r="C236" s="907"/>
      <c r="D236" s="839">
        <v>13</v>
      </c>
      <c r="E236" s="839"/>
      <c r="F236" s="839"/>
      <c r="G236" s="839"/>
      <c r="H236" s="741">
        <v>0.493199</v>
      </c>
      <c r="I236" s="837"/>
      <c r="J236" s="837"/>
      <c r="K236" s="837"/>
      <c r="L236" s="837"/>
      <c r="M236" s="741">
        <v>0.49110700000000002</v>
      </c>
      <c r="N236" s="838"/>
      <c r="O236" s="838"/>
      <c r="P236" s="838"/>
      <c r="Q236" s="838"/>
    </row>
    <row r="237" spans="1:17" s="3" customFormat="1">
      <c r="A237" s="907"/>
      <c r="B237" s="907"/>
      <c r="C237" s="907"/>
      <c r="D237" s="839">
        <v>14</v>
      </c>
      <c r="E237" s="839"/>
      <c r="F237" s="839"/>
      <c r="G237" s="839"/>
      <c r="H237" s="741">
        <v>0.49318699999999999</v>
      </c>
      <c r="I237" s="837"/>
      <c r="J237" s="837"/>
      <c r="K237" s="837"/>
      <c r="L237" s="837"/>
      <c r="M237" s="741">
        <v>0.491122</v>
      </c>
      <c r="N237" s="838"/>
      <c r="O237" s="838"/>
      <c r="P237" s="838"/>
      <c r="Q237" s="838"/>
    </row>
    <row r="238" spans="1:17" s="3" customFormat="1">
      <c r="A238" s="907"/>
      <c r="B238" s="907"/>
      <c r="C238" s="907"/>
      <c r="D238" s="839">
        <v>15</v>
      </c>
      <c r="E238" s="839"/>
      <c r="F238" s="839"/>
      <c r="G238" s="839"/>
      <c r="H238" s="741">
        <v>0.49321999999999999</v>
      </c>
      <c r="I238" s="837"/>
      <c r="J238" s="837"/>
      <c r="K238" s="837"/>
      <c r="L238" s="837"/>
      <c r="M238" s="741">
        <v>0.49118400000000001</v>
      </c>
      <c r="N238" s="838"/>
      <c r="O238" s="838"/>
      <c r="P238" s="838"/>
      <c r="Q238" s="838"/>
    </row>
    <row r="239" spans="1:17" s="3" customFormat="1">
      <c r="A239" s="907"/>
      <c r="B239" s="907"/>
      <c r="C239" s="907"/>
      <c r="D239" s="839">
        <v>16</v>
      </c>
      <c r="E239" s="839"/>
      <c r="F239" s="839"/>
      <c r="G239" s="839"/>
      <c r="H239" s="741">
        <v>0.49323600000000001</v>
      </c>
      <c r="I239" s="837"/>
      <c r="J239" s="837"/>
      <c r="K239" s="837"/>
      <c r="L239" s="837"/>
      <c r="M239" s="741">
        <v>0.49129899999999999</v>
      </c>
      <c r="N239" s="838"/>
      <c r="O239" s="838"/>
      <c r="P239" s="838"/>
      <c r="Q239" s="838"/>
    </row>
    <row r="240" spans="1:17" s="3" customFormat="1">
      <c r="A240" s="907"/>
      <c r="B240" s="907"/>
      <c r="C240" s="907"/>
      <c r="D240" s="839">
        <v>17</v>
      </c>
      <c r="E240" s="839"/>
      <c r="F240" s="839"/>
      <c r="G240" s="839"/>
      <c r="H240" s="741">
        <v>0.493307</v>
      </c>
      <c r="I240" s="837"/>
      <c r="J240" s="837"/>
      <c r="K240" s="837"/>
      <c r="L240" s="837"/>
      <c r="M240" s="741">
        <v>0.49144300000000002</v>
      </c>
      <c r="N240" s="838"/>
      <c r="O240" s="838"/>
      <c r="P240" s="838"/>
      <c r="Q240" s="838"/>
    </row>
    <row r="241" spans="1:17" s="3" customFormat="1">
      <c r="A241" s="907"/>
      <c r="B241" s="907"/>
      <c r="C241" s="907"/>
      <c r="D241" s="839">
        <v>18</v>
      </c>
      <c r="E241" s="839"/>
      <c r="F241" s="839"/>
      <c r="G241" s="839"/>
      <c r="H241" s="741">
        <v>0.49335899999999999</v>
      </c>
      <c r="I241" s="837"/>
      <c r="J241" s="837"/>
      <c r="K241" s="837"/>
      <c r="L241" s="837"/>
      <c r="M241" s="741">
        <v>0.49163800000000002</v>
      </c>
      <c r="N241" s="838"/>
      <c r="O241" s="838"/>
      <c r="P241" s="838"/>
      <c r="Q241" s="838"/>
    </row>
    <row r="242" spans="1:17" s="3" customFormat="1">
      <c r="A242" s="907"/>
      <c r="B242" s="907"/>
      <c r="C242" s="907"/>
      <c r="D242" s="839">
        <v>19</v>
      </c>
      <c r="E242" s="839"/>
      <c r="F242" s="839"/>
      <c r="G242" s="839"/>
      <c r="H242" s="741">
        <v>0.49394100000000002</v>
      </c>
      <c r="I242" s="837"/>
      <c r="J242" s="837"/>
      <c r="K242" s="837"/>
      <c r="L242" s="837"/>
      <c r="M242" s="741">
        <v>0.49185200000000001</v>
      </c>
      <c r="N242" s="838"/>
      <c r="O242" s="838"/>
      <c r="P242" s="838"/>
      <c r="Q242" s="838"/>
    </row>
    <row r="243" spans="1:17" s="3" customFormat="1">
      <c r="A243" s="907"/>
      <c r="B243" s="907"/>
      <c r="C243" s="907"/>
      <c r="D243" s="839">
        <v>20</v>
      </c>
      <c r="E243" s="839"/>
      <c r="F243" s="839"/>
      <c r="G243" s="839"/>
      <c r="H243" s="741">
        <v>0.49401400000000001</v>
      </c>
      <c r="I243" s="837"/>
      <c r="J243" s="837"/>
      <c r="K243" s="837"/>
      <c r="L243" s="837"/>
      <c r="M243" s="741">
        <v>0.49193199999999998</v>
      </c>
      <c r="N243" s="838"/>
      <c r="O243" s="838"/>
      <c r="P243" s="838"/>
      <c r="Q243" s="838"/>
    </row>
    <row r="244" spans="1:17" s="3" customFormat="1">
      <c r="A244" s="907"/>
      <c r="B244" s="907"/>
      <c r="C244" s="907"/>
      <c r="D244" s="839">
        <v>21</v>
      </c>
      <c r="E244" s="839"/>
      <c r="F244" s="839"/>
      <c r="G244" s="839"/>
      <c r="H244" s="741">
        <v>0.494008</v>
      </c>
      <c r="I244" s="837"/>
      <c r="J244" s="837"/>
      <c r="K244" s="837"/>
      <c r="L244" s="837"/>
      <c r="M244" s="741">
        <v>0.49197800000000003</v>
      </c>
      <c r="N244" s="838"/>
      <c r="O244" s="838"/>
      <c r="P244" s="838"/>
      <c r="Q244" s="838"/>
    </row>
    <row r="245" spans="1:17" s="3" customFormat="1">
      <c r="A245" s="907"/>
      <c r="B245" s="907"/>
      <c r="C245" s="907"/>
      <c r="D245" s="839">
        <v>22</v>
      </c>
      <c r="E245" s="839"/>
      <c r="F245" s="839"/>
      <c r="G245" s="839"/>
      <c r="H245" s="741">
        <v>0.49410399999999999</v>
      </c>
      <c r="I245" s="837"/>
      <c r="J245" s="837"/>
      <c r="K245" s="837"/>
      <c r="L245" s="837"/>
      <c r="M245" s="741">
        <v>0.491975</v>
      </c>
      <c r="N245" s="838"/>
      <c r="O245" s="838"/>
      <c r="P245" s="838"/>
      <c r="Q245" s="838"/>
    </row>
    <row r="246" spans="1:17" s="3" customFormat="1">
      <c r="A246" s="907"/>
      <c r="B246" s="907"/>
      <c r="C246" s="907"/>
      <c r="D246" s="839">
        <v>23</v>
      </c>
      <c r="E246" s="839"/>
      <c r="F246" s="839"/>
      <c r="G246" s="839"/>
      <c r="H246" s="741">
        <v>0.49421900000000002</v>
      </c>
      <c r="I246" s="837"/>
      <c r="J246" s="837"/>
      <c r="K246" s="837"/>
      <c r="L246" s="837"/>
      <c r="M246" s="741">
        <v>0.492035</v>
      </c>
      <c r="N246" s="838"/>
      <c r="O246" s="838"/>
      <c r="P246" s="838"/>
      <c r="Q246" s="838"/>
    </row>
    <row r="247" spans="1:17" s="3" customFormat="1">
      <c r="A247" s="907"/>
      <c r="B247" s="907"/>
      <c r="C247" s="907"/>
      <c r="D247" s="839">
        <v>24</v>
      </c>
      <c r="E247" s="839"/>
      <c r="F247" s="839"/>
      <c r="G247" s="839"/>
      <c r="H247" s="741">
        <v>0.494448</v>
      </c>
      <c r="I247" s="837"/>
      <c r="J247" s="837"/>
      <c r="K247" s="837"/>
      <c r="L247" s="837"/>
      <c r="M247" s="741">
        <v>0.49206499999999997</v>
      </c>
      <c r="N247" s="838"/>
      <c r="O247" s="838"/>
      <c r="P247" s="838"/>
      <c r="Q247" s="838"/>
    </row>
    <row r="248" spans="1:17" s="3" customFormat="1">
      <c r="A248" s="907"/>
      <c r="B248" s="907"/>
      <c r="C248" s="907"/>
      <c r="D248" s="839">
        <v>25</v>
      </c>
      <c r="E248" s="839"/>
      <c r="F248" s="839"/>
      <c r="G248" s="839"/>
      <c r="H248" s="741">
        <v>0.49442399999999997</v>
      </c>
      <c r="I248" s="837"/>
      <c r="J248" s="837"/>
      <c r="K248" s="837"/>
      <c r="L248" s="837"/>
      <c r="M248" s="741">
        <v>0.49220199999999997</v>
      </c>
      <c r="N248" s="838"/>
      <c r="O248" s="838"/>
      <c r="P248" s="838"/>
      <c r="Q248" s="838"/>
    </row>
    <row r="249" spans="1:17" s="3" customFormat="1">
      <c r="A249" s="907"/>
      <c r="B249" s="907"/>
      <c r="C249" s="907"/>
      <c r="D249" s="839">
        <v>26</v>
      </c>
      <c r="E249" s="839"/>
      <c r="F249" s="839"/>
      <c r="G249" s="839"/>
      <c r="H249" s="741">
        <v>0.49451099999999998</v>
      </c>
      <c r="I249" s="837"/>
      <c r="J249" s="837"/>
      <c r="K249" s="837"/>
      <c r="L249" s="837"/>
      <c r="M249" s="741">
        <v>0.49229400000000001</v>
      </c>
      <c r="N249" s="838"/>
      <c r="O249" s="838"/>
      <c r="P249" s="838"/>
      <c r="Q249" s="838"/>
    </row>
    <row r="250" spans="1:17" s="3" customFormat="1">
      <c r="A250" s="907"/>
      <c r="B250" s="907"/>
      <c r="C250" s="907"/>
      <c r="D250" s="839">
        <v>27</v>
      </c>
      <c r="E250" s="839"/>
      <c r="F250" s="839"/>
      <c r="G250" s="839"/>
      <c r="H250" s="741">
        <v>0.49462899999999999</v>
      </c>
      <c r="I250" s="837"/>
      <c r="J250" s="837"/>
      <c r="K250" s="837"/>
      <c r="L250" s="837"/>
      <c r="M250" s="741">
        <v>0.492338</v>
      </c>
      <c r="N250" s="838"/>
      <c r="O250" s="838"/>
      <c r="P250" s="838"/>
      <c r="Q250" s="838"/>
    </row>
    <row r="251" spans="1:17" s="3" customFormat="1">
      <c r="A251" s="907"/>
      <c r="B251" s="907"/>
      <c r="C251" s="907"/>
      <c r="D251" s="839">
        <v>28</v>
      </c>
      <c r="E251" s="839"/>
      <c r="F251" s="839"/>
      <c r="G251" s="839"/>
      <c r="H251" s="741">
        <v>0.49466300000000002</v>
      </c>
      <c r="I251" s="817"/>
      <c r="J251" s="817"/>
      <c r="K251" s="817"/>
      <c r="L251" s="818"/>
      <c r="M251" s="741">
        <v>0.49243900000000002</v>
      </c>
      <c r="N251" s="848"/>
      <c r="O251" s="848"/>
      <c r="P251" s="848"/>
      <c r="Q251" s="849"/>
    </row>
    <row r="252" spans="1:17" s="3" customFormat="1">
      <c r="A252" s="907"/>
      <c r="B252" s="907"/>
      <c r="C252" s="907"/>
      <c r="D252" s="839">
        <v>29</v>
      </c>
      <c r="E252" s="839"/>
      <c r="F252" s="839"/>
      <c r="G252" s="839"/>
      <c r="H252" s="741">
        <v>0.49472500000000003</v>
      </c>
      <c r="I252" s="817"/>
      <c r="J252" s="817"/>
      <c r="K252" s="817"/>
      <c r="L252" s="818"/>
      <c r="M252" s="741">
        <v>0.492448</v>
      </c>
      <c r="N252" s="848"/>
      <c r="O252" s="848"/>
      <c r="P252" s="848"/>
      <c r="Q252" s="849"/>
    </row>
    <row r="253" spans="1:17" s="3" customFormat="1">
      <c r="A253" s="907"/>
      <c r="B253" s="907"/>
      <c r="C253" s="907"/>
      <c r="D253" s="839">
        <v>30</v>
      </c>
      <c r="E253" s="839"/>
      <c r="F253" s="839"/>
      <c r="G253" s="839"/>
      <c r="H253" s="741">
        <v>0.49471300000000001</v>
      </c>
      <c r="I253" s="817"/>
      <c r="J253" s="817"/>
      <c r="K253" s="817"/>
      <c r="L253" s="818"/>
      <c r="M253" s="741">
        <v>0.49244199999999999</v>
      </c>
      <c r="N253" s="848"/>
      <c r="O253" s="848"/>
      <c r="P253" s="848"/>
      <c r="Q253" s="849"/>
    </row>
    <row r="254" spans="1:17" s="3" customFormat="1">
      <c r="A254" s="907"/>
      <c r="B254" s="907"/>
      <c r="C254" s="907"/>
      <c r="D254" s="839">
        <v>31</v>
      </c>
      <c r="E254" s="839"/>
      <c r="F254" s="839"/>
      <c r="G254" s="839"/>
      <c r="H254" s="741">
        <v>0.49483700000000003</v>
      </c>
      <c r="I254" s="817"/>
      <c r="J254" s="817"/>
      <c r="K254" s="817"/>
      <c r="L254" s="818"/>
      <c r="M254" s="741">
        <v>0.49251699999999998</v>
      </c>
      <c r="N254" s="848"/>
      <c r="O254" s="848"/>
      <c r="P254" s="848"/>
      <c r="Q254" s="849"/>
    </row>
    <row r="255" spans="1:17" s="3" customFormat="1">
      <c r="A255" s="907"/>
      <c r="B255" s="907"/>
      <c r="C255" s="907"/>
      <c r="D255" s="839">
        <v>32</v>
      </c>
      <c r="E255" s="839"/>
      <c r="F255" s="839"/>
      <c r="G255" s="839"/>
      <c r="H255" s="741">
        <v>0.494923</v>
      </c>
      <c r="I255" s="817"/>
      <c r="J255" s="817"/>
      <c r="K255" s="817"/>
      <c r="L255" s="818"/>
      <c r="M255" s="741">
        <v>0.49258999999999997</v>
      </c>
      <c r="N255" s="848"/>
      <c r="O255" s="848"/>
      <c r="P255" s="848"/>
      <c r="Q255" s="849"/>
    </row>
    <row r="256" spans="1:17" s="3" customFormat="1">
      <c r="A256" s="907"/>
      <c r="B256" s="907"/>
      <c r="C256" s="907"/>
      <c r="D256" s="839">
        <v>33</v>
      </c>
      <c r="E256" s="839"/>
      <c r="F256" s="839"/>
      <c r="G256" s="839"/>
      <c r="H256" s="741">
        <v>0.49492199999999997</v>
      </c>
      <c r="I256" s="837"/>
      <c r="J256" s="837"/>
      <c r="K256" s="837"/>
      <c r="L256" s="837"/>
      <c r="M256" s="741">
        <v>0.492678</v>
      </c>
      <c r="N256" s="838"/>
      <c r="O256" s="838"/>
      <c r="P256" s="838"/>
      <c r="Q256" s="838"/>
    </row>
    <row r="257" spans="1:17" s="3" customFormat="1">
      <c r="A257" s="907"/>
      <c r="B257" s="907"/>
      <c r="C257" s="907"/>
      <c r="D257" s="839">
        <v>34</v>
      </c>
      <c r="E257" s="839"/>
      <c r="F257" s="839"/>
      <c r="G257" s="839"/>
      <c r="H257" s="741">
        <v>0.49526300000000001</v>
      </c>
      <c r="I257" s="837"/>
      <c r="J257" s="837"/>
      <c r="K257" s="837"/>
      <c r="L257" s="837"/>
      <c r="M257" s="741">
        <v>0.49296099999999998</v>
      </c>
      <c r="N257" s="838"/>
      <c r="O257" s="838"/>
      <c r="P257" s="838"/>
      <c r="Q257" s="838"/>
    </row>
    <row r="258" spans="1:17" s="3" customFormat="1">
      <c r="A258" s="907"/>
      <c r="B258" s="907"/>
      <c r="C258" s="907"/>
      <c r="D258" s="839">
        <v>35</v>
      </c>
      <c r="E258" s="839"/>
      <c r="F258" s="839"/>
      <c r="G258" s="839"/>
      <c r="H258" s="741">
        <v>0.49527399999999999</v>
      </c>
      <c r="I258" s="837"/>
      <c r="J258" s="837"/>
      <c r="K258" s="837"/>
      <c r="L258" s="837"/>
      <c r="M258" s="741">
        <v>0.493035</v>
      </c>
      <c r="N258" s="838"/>
      <c r="O258" s="838"/>
      <c r="P258" s="838"/>
      <c r="Q258" s="838"/>
    </row>
    <row r="259" spans="1:17" s="3" customFormat="1">
      <c r="A259" s="907"/>
      <c r="B259" s="907"/>
      <c r="C259" s="907"/>
      <c r="D259" s="839">
        <v>36</v>
      </c>
      <c r="E259" s="839"/>
      <c r="F259" s="839"/>
      <c r="G259" s="839"/>
      <c r="H259" s="741">
        <v>0.49531700000000001</v>
      </c>
      <c r="I259" s="837"/>
      <c r="J259" s="837"/>
      <c r="K259" s="837"/>
      <c r="L259" s="837"/>
      <c r="M259" s="741">
        <v>0.49306</v>
      </c>
      <c r="N259" s="838"/>
      <c r="O259" s="838"/>
      <c r="P259" s="838"/>
      <c r="Q259" s="838"/>
    </row>
    <row r="260" spans="1:17" s="3" customFormat="1">
      <c r="A260" s="907"/>
      <c r="B260" s="907"/>
      <c r="C260" s="907"/>
      <c r="D260" s="839">
        <v>37</v>
      </c>
      <c r="E260" s="839"/>
      <c r="F260" s="839"/>
      <c r="G260" s="839"/>
      <c r="H260" s="741">
        <v>0.495147</v>
      </c>
      <c r="I260" s="817"/>
      <c r="J260" s="817"/>
      <c r="K260" s="817"/>
      <c r="L260" s="818"/>
      <c r="M260" s="741">
        <v>0.49306</v>
      </c>
      <c r="N260" s="848"/>
      <c r="O260" s="848"/>
      <c r="P260" s="848"/>
      <c r="Q260" s="849"/>
    </row>
    <row r="261" spans="1:17" s="3" customFormat="1">
      <c r="A261" s="907"/>
      <c r="B261" s="907"/>
      <c r="C261" s="907"/>
      <c r="D261" s="839">
        <v>38</v>
      </c>
      <c r="E261" s="839"/>
      <c r="F261" s="839"/>
      <c r="G261" s="839"/>
      <c r="H261" s="741">
        <v>0.495199</v>
      </c>
      <c r="I261" s="837"/>
      <c r="J261" s="837"/>
      <c r="K261" s="837"/>
      <c r="L261" s="837"/>
      <c r="M261" s="741">
        <v>0.49310300000000001</v>
      </c>
      <c r="N261" s="838"/>
      <c r="O261" s="838"/>
      <c r="P261" s="838"/>
      <c r="Q261" s="838"/>
    </row>
    <row r="262" spans="1:17" s="3" customFormat="1">
      <c r="A262" s="871" t="s">
        <v>90</v>
      </c>
      <c r="B262" s="871"/>
      <c r="C262" s="871"/>
      <c r="D262" s="839" t="s">
        <v>91</v>
      </c>
      <c r="E262" s="839"/>
      <c r="F262" s="839"/>
      <c r="G262" s="839"/>
      <c r="H262" s="858">
        <f>MAX(H228:L261)</f>
        <v>0.49531700000000001</v>
      </c>
      <c r="I262" s="858"/>
      <c r="J262" s="858"/>
      <c r="K262" s="858"/>
      <c r="L262" s="858"/>
      <c r="M262" s="858">
        <f>MAX(M228:Q261)</f>
        <v>0.49310300000000001</v>
      </c>
      <c r="N262" s="858"/>
      <c r="O262" s="858"/>
      <c r="P262" s="858"/>
      <c r="Q262" s="858"/>
    </row>
    <row r="263" spans="1:17" s="3" customFormat="1">
      <c r="A263" s="871"/>
      <c r="B263" s="871"/>
      <c r="C263" s="871"/>
      <c r="D263" s="839" t="s">
        <v>92</v>
      </c>
      <c r="E263" s="839"/>
      <c r="F263" s="839"/>
      <c r="G263" s="839"/>
      <c r="H263" s="858">
        <f>MIN(H228:L261)</f>
        <v>0.49288199999999999</v>
      </c>
      <c r="I263" s="858"/>
      <c r="J263" s="858"/>
      <c r="K263" s="858"/>
      <c r="L263" s="858"/>
      <c r="M263" s="858">
        <f>MIN(M228:Q261)</f>
        <v>0.49048199999999997</v>
      </c>
      <c r="N263" s="858"/>
      <c r="O263" s="858"/>
      <c r="P263" s="858"/>
      <c r="Q263" s="858"/>
    </row>
    <row r="264" spans="1:17" s="3" customFormat="1">
      <c r="A264" s="871"/>
      <c r="B264" s="871"/>
      <c r="C264" s="871"/>
      <c r="D264" s="839" t="s">
        <v>93</v>
      </c>
      <c r="E264" s="839"/>
      <c r="F264" s="839"/>
      <c r="G264" s="839"/>
      <c r="H264" s="858">
        <f>H262-H263</f>
        <v>2.4350000000000205E-3</v>
      </c>
      <c r="I264" s="858"/>
      <c r="J264" s="858"/>
      <c r="K264" s="858"/>
      <c r="L264" s="858"/>
      <c r="M264" s="858">
        <f>M262-M263</f>
        <v>2.62100000000004E-3</v>
      </c>
      <c r="N264" s="858"/>
      <c r="O264" s="858"/>
      <c r="P264" s="858"/>
      <c r="Q264" s="858"/>
    </row>
    <row r="265" spans="1:17" s="3" customFormat="1">
      <c r="A265" s="871"/>
      <c r="B265" s="871"/>
      <c r="C265" s="871"/>
      <c r="D265" s="839" t="s">
        <v>65</v>
      </c>
      <c r="E265" s="839"/>
      <c r="F265" s="839"/>
      <c r="G265" s="839"/>
      <c r="H265" s="858" t="s">
        <v>203</v>
      </c>
      <c r="I265" s="858"/>
      <c r="J265" s="858"/>
      <c r="K265" s="858"/>
      <c r="L265" s="858"/>
      <c r="M265" s="858" t="s">
        <v>203</v>
      </c>
      <c r="N265" s="858"/>
      <c r="O265" s="858"/>
      <c r="P265" s="858"/>
      <c r="Q265" s="858"/>
    </row>
    <row r="266" spans="1:17" s="3" customFormat="1" ht="15" customHeight="1">
      <c r="A266" s="871"/>
      <c r="B266" s="871"/>
      <c r="C266" s="871"/>
      <c r="D266" s="839" t="s">
        <v>6</v>
      </c>
      <c r="E266" s="839"/>
      <c r="F266" s="839"/>
      <c r="G266" s="839"/>
      <c r="H266" s="858" t="str">
        <f>IF(H264&lt;=0.01,"Pass","Fail")</f>
        <v>Pass</v>
      </c>
      <c r="I266" s="858"/>
      <c r="J266" s="858"/>
      <c r="K266" s="858"/>
      <c r="L266" s="858"/>
      <c r="M266" s="858" t="str">
        <f>IF(M264&lt;=0.01,"Pass","Fail")</f>
        <v>Pass</v>
      </c>
      <c r="N266" s="858"/>
      <c r="O266" s="858"/>
      <c r="P266" s="858"/>
      <c r="Q266" s="858"/>
    </row>
    <row r="267" spans="1:17" s="3" customFormat="1" ht="14.5">
      <c r="A267" s="917" t="s">
        <v>372</v>
      </c>
      <c r="B267" s="917"/>
      <c r="C267" s="917"/>
      <c r="D267" s="917"/>
      <c r="E267" s="917"/>
      <c r="F267" s="917"/>
      <c r="G267" s="917"/>
      <c r="H267" s="917"/>
      <c r="I267" s="917"/>
      <c r="J267" s="917"/>
      <c r="K267" s="917"/>
      <c r="L267" s="917"/>
      <c r="M267" s="917"/>
      <c r="N267" s="917"/>
      <c r="O267" s="917"/>
      <c r="P267" s="917"/>
      <c r="Q267" s="917"/>
    </row>
    <row r="268" spans="1:17" s="3" customFormat="1" ht="40.5" customHeight="1">
      <c r="A268" s="918" t="s">
        <v>348</v>
      </c>
      <c r="B268" s="918"/>
      <c r="C268" s="918"/>
      <c r="D268" s="918"/>
      <c r="E268" s="918"/>
      <c r="F268" s="918"/>
      <c r="G268" s="918"/>
      <c r="H268" s="918"/>
      <c r="I268" s="918"/>
      <c r="J268" s="918"/>
      <c r="K268" s="918"/>
      <c r="L268" s="918"/>
      <c r="M268" s="918"/>
      <c r="N268" s="918"/>
      <c r="O268" s="918"/>
      <c r="P268" s="918"/>
      <c r="Q268" s="918"/>
    </row>
    <row r="269" spans="1:17" s="3" customFormat="1" ht="18" customHeight="1">
      <c r="A269" s="901" t="s">
        <v>95</v>
      </c>
      <c r="B269" s="902"/>
      <c r="C269" s="902"/>
      <c r="D269" s="902"/>
      <c r="E269" s="902"/>
      <c r="F269" s="903"/>
      <c r="G269" s="901"/>
      <c r="H269" s="902"/>
      <c r="I269" s="902"/>
      <c r="J269" s="902"/>
      <c r="K269" s="902"/>
      <c r="L269" s="902"/>
      <c r="M269" s="902"/>
      <c r="N269" s="902"/>
      <c r="O269" s="902"/>
      <c r="P269" s="902"/>
      <c r="Q269" s="903"/>
    </row>
    <row r="270" spans="1:17" s="3" customFormat="1" ht="18" customHeight="1">
      <c r="A270" s="711" t="s">
        <v>97</v>
      </c>
      <c r="B270" s="712"/>
      <c r="C270" s="712"/>
      <c r="D270" s="712"/>
      <c r="E270" s="712"/>
      <c r="F270" s="713"/>
      <c r="G270" s="54" t="s">
        <v>105</v>
      </c>
      <c r="H270" s="54" t="s">
        <v>105</v>
      </c>
      <c r="I270" s="54" t="s">
        <v>105</v>
      </c>
      <c r="J270" s="54" t="s">
        <v>105</v>
      </c>
      <c r="K270" s="54" t="s">
        <v>105</v>
      </c>
      <c r="L270" s="54" t="s">
        <v>105</v>
      </c>
      <c r="M270" s="54" t="s">
        <v>105</v>
      </c>
      <c r="N270" s="54" t="s">
        <v>105</v>
      </c>
      <c r="O270" s="54" t="s">
        <v>105</v>
      </c>
      <c r="P270" s="54" t="s">
        <v>105</v>
      </c>
      <c r="Q270" s="54" t="s">
        <v>105</v>
      </c>
    </row>
    <row r="271" spans="1:17" s="3" customFormat="1" ht="18" customHeight="1">
      <c r="A271" s="711">
        <v>1</v>
      </c>
      <c r="B271" s="712"/>
      <c r="C271" s="712"/>
      <c r="D271" s="712"/>
      <c r="E271" s="712"/>
      <c r="F271" s="713"/>
      <c r="G271" s="86">
        <v>2.4000000000000001E-5</v>
      </c>
      <c r="H271" s="96">
        <v>0.39366299999999999</v>
      </c>
      <c r="I271" s="106">
        <v>0.78902000000000005</v>
      </c>
      <c r="J271" s="116">
        <v>1.1823520000000001</v>
      </c>
      <c r="K271" s="126">
        <v>1.562111</v>
      </c>
      <c r="L271" s="136">
        <v>1.93394</v>
      </c>
      <c r="M271" s="146">
        <v>2.2986900000000001</v>
      </c>
      <c r="N271" s="156">
        <v>2.7327970000000001</v>
      </c>
      <c r="O271" s="166">
        <v>3.0931419999999998</v>
      </c>
      <c r="P271" s="176">
        <v>3.5200969999999998</v>
      </c>
      <c r="Q271" s="186">
        <v>3.8663379999999998</v>
      </c>
    </row>
    <row r="272" spans="1:17" s="3" customFormat="1" ht="18" customHeight="1">
      <c r="A272" s="711">
        <v>2</v>
      </c>
      <c r="B272" s="712"/>
      <c r="C272" s="712"/>
      <c r="D272" s="712"/>
      <c r="E272" s="712"/>
      <c r="F272" s="713"/>
      <c r="G272" s="87">
        <v>-2.6400000000000002E-4</v>
      </c>
      <c r="H272" s="97">
        <v>0.39566200000000001</v>
      </c>
      <c r="I272" s="107">
        <v>0.78668300000000002</v>
      </c>
      <c r="J272" s="117">
        <v>1.1714560000000001</v>
      </c>
      <c r="K272" s="127">
        <v>1.5778920000000001</v>
      </c>
      <c r="L272" s="137">
        <v>1.934172</v>
      </c>
      <c r="M272" s="147">
        <v>2.307871</v>
      </c>
      <c r="N272" s="157">
        <v>2.7417099999999999</v>
      </c>
      <c r="O272" s="167">
        <v>3.089499</v>
      </c>
      <c r="P272" s="177">
        <v>3.5183740000000001</v>
      </c>
      <c r="Q272" s="187">
        <v>3.8795250000000001</v>
      </c>
    </row>
    <row r="273" spans="1:17" s="3" customFormat="1" ht="18" customHeight="1">
      <c r="A273" s="711">
        <v>3</v>
      </c>
      <c r="B273" s="712"/>
      <c r="C273" s="712"/>
      <c r="D273" s="712"/>
      <c r="E273" s="712"/>
      <c r="F273" s="713"/>
      <c r="G273" s="88">
        <v>-3.0000000000000001E-5</v>
      </c>
      <c r="H273" s="98">
        <v>0.395673</v>
      </c>
      <c r="I273" s="108">
        <v>0.78675700000000004</v>
      </c>
      <c r="J273" s="118">
        <v>1.170212</v>
      </c>
      <c r="K273" s="128">
        <v>1.5590539999999999</v>
      </c>
      <c r="L273" s="138">
        <v>1.940051</v>
      </c>
      <c r="M273" s="148">
        <v>2.3042690000000001</v>
      </c>
      <c r="N273" s="158">
        <v>2.7144810000000001</v>
      </c>
      <c r="O273" s="168">
        <v>3.1053989999999998</v>
      </c>
      <c r="P273" s="178">
        <v>3.4995620000000001</v>
      </c>
      <c r="Q273" s="188">
        <v>3.8633280000000001</v>
      </c>
    </row>
    <row r="274" spans="1:17" s="3" customFormat="1" ht="18" customHeight="1">
      <c r="A274" s="711">
        <v>4</v>
      </c>
      <c r="B274" s="712"/>
      <c r="C274" s="712"/>
      <c r="D274" s="712"/>
      <c r="E274" s="712"/>
      <c r="F274" s="713"/>
      <c r="G274" s="89">
        <v>-1.7E-5</v>
      </c>
      <c r="H274" s="99">
        <v>0.394092</v>
      </c>
      <c r="I274" s="109">
        <v>0.78814499999999998</v>
      </c>
      <c r="J274" s="119">
        <v>1.176682</v>
      </c>
      <c r="K274" s="129">
        <v>1.577467</v>
      </c>
      <c r="L274" s="139">
        <v>1.9376519999999999</v>
      </c>
      <c r="M274" s="149">
        <v>2.3006690000000001</v>
      </c>
      <c r="N274" s="159">
        <v>2.7106699999999999</v>
      </c>
      <c r="O274" s="169">
        <v>3.0991770000000001</v>
      </c>
      <c r="P274" s="179">
        <v>3.48671</v>
      </c>
      <c r="Q274" s="189">
        <v>3.860052</v>
      </c>
    </row>
    <row r="275" spans="1:17" s="3" customFormat="1" ht="18" customHeight="1">
      <c r="A275" s="711">
        <v>5</v>
      </c>
      <c r="B275" s="712"/>
      <c r="C275" s="712"/>
      <c r="D275" s="712"/>
      <c r="E275" s="712"/>
      <c r="F275" s="713"/>
      <c r="G275" s="90">
        <v>-4.1300000000000001E-4</v>
      </c>
      <c r="H275" s="100">
        <v>0.39573599999999998</v>
      </c>
      <c r="I275" s="110">
        <v>0.78676000000000001</v>
      </c>
      <c r="J275" s="120">
        <v>1.1737610000000001</v>
      </c>
      <c r="K275" s="130">
        <v>1.5608519999999999</v>
      </c>
      <c r="L275" s="140">
        <v>1.945049</v>
      </c>
      <c r="M275" s="150">
        <v>2.2981609999999999</v>
      </c>
      <c r="N275" s="160">
        <v>2.7033429999999998</v>
      </c>
      <c r="O275" s="170">
        <v>3.1169449999999999</v>
      </c>
      <c r="P275" s="180">
        <v>3.5028160000000002</v>
      </c>
      <c r="Q275" s="190">
        <v>3.8796390000000001</v>
      </c>
    </row>
    <row r="276" spans="1:17" s="3" customFormat="1" ht="18" customHeight="1">
      <c r="A276" s="913" t="s">
        <v>217</v>
      </c>
      <c r="B276" s="914"/>
      <c r="C276" s="914"/>
      <c r="D276" s="914"/>
      <c r="E276" s="914"/>
      <c r="F276" s="915"/>
      <c r="G276" s="50" t="s">
        <v>96</v>
      </c>
      <c r="H276" s="50" t="s">
        <v>96</v>
      </c>
      <c r="I276" s="50" t="s">
        <v>96</v>
      </c>
      <c r="J276" s="50" t="s">
        <v>96</v>
      </c>
      <c r="K276" s="51" t="str">
        <f t="shared" ref="K276:O276" si="0">IF(MAX(K271:K275) &gt;= 2, "是", "否")</f>
        <v>否</v>
      </c>
      <c r="L276" s="51" t="str">
        <f t="shared" si="0"/>
        <v>否</v>
      </c>
      <c r="M276" s="51" t="str">
        <f t="shared" si="0"/>
        <v>是</v>
      </c>
      <c r="N276" s="51" t="str">
        <f t="shared" si="0"/>
        <v>是</v>
      </c>
      <c r="O276" s="51" t="str">
        <f t="shared" si="0"/>
        <v>是</v>
      </c>
      <c r="P276" s="51" t="str">
        <f t="shared" ref="P276:Q276" si="1">IF(MAX(P271:P275) &gt;= 2, "是", "否")</f>
        <v>是</v>
      </c>
      <c r="Q276" s="51" t="str">
        <f t="shared" si="1"/>
        <v>是</v>
      </c>
    </row>
    <row r="277" spans="1:17" s="3" customFormat="1" ht="18" customHeight="1">
      <c r="A277" s="923" t="s">
        <v>253</v>
      </c>
      <c r="B277" s="924"/>
      <c r="C277" s="924"/>
      <c r="D277" s="924"/>
      <c r="E277" s="924"/>
      <c r="F277" s="925"/>
      <c r="G277" s="50" t="s">
        <v>96</v>
      </c>
      <c r="H277" s="50" t="s">
        <v>96</v>
      </c>
      <c r="I277" s="50" t="s">
        <v>96</v>
      </c>
      <c r="J277" s="50" t="s">
        <v>96</v>
      </c>
      <c r="K277" s="196">
        <v>-7.8032999999999998E-4</v>
      </c>
      <c r="L277" s="198">
        <v>-1.1368079999999999E-2</v>
      </c>
      <c r="M277" s="200">
        <v>-2.1379039999999998E-2</v>
      </c>
      <c r="N277" s="202">
        <v>-8.5207500000000005E-3</v>
      </c>
      <c r="O277" s="204">
        <v>-1.113272E-2</v>
      </c>
      <c r="P277" s="206">
        <v>-6.23384E-3</v>
      </c>
      <c r="Q277" s="208">
        <v>-1.2626470000000001E-2</v>
      </c>
    </row>
    <row r="278" spans="1:17" s="3" customFormat="1" ht="18" customHeight="1">
      <c r="A278" s="923" t="s">
        <v>6</v>
      </c>
      <c r="B278" s="924"/>
      <c r="C278" s="924"/>
      <c r="D278" s="924"/>
      <c r="E278" s="924"/>
      <c r="F278" s="925"/>
      <c r="G278" s="50" t="s">
        <v>96</v>
      </c>
      <c r="H278" s="50" t="s">
        <v>96</v>
      </c>
      <c r="I278" s="50" t="s">
        <v>96</v>
      </c>
      <c r="J278" s="50" t="s">
        <v>96</v>
      </c>
      <c r="K278" s="53" t="str">
        <f t="shared" ref="K278:Q278" si="2">IF(OR(ABS(K277) &lt; 5%, MAX(K271:K275) &gt; 2), "Pass", "Fail")</f>
        <v>Pass</v>
      </c>
      <c r="L278" s="53" t="str">
        <f t="shared" si="2"/>
        <v>Pass</v>
      </c>
      <c r="M278" s="53" t="str">
        <f t="shared" si="2"/>
        <v>Pass</v>
      </c>
      <c r="N278" s="53" t="str">
        <f t="shared" si="2"/>
        <v>Pass</v>
      </c>
      <c r="O278" s="53" t="str">
        <f t="shared" si="2"/>
        <v>Pass</v>
      </c>
      <c r="P278" s="53" t="str">
        <f t="shared" si="2"/>
        <v>Pass</v>
      </c>
      <c r="Q278" s="53" t="str">
        <f t="shared" si="2"/>
        <v>Pass</v>
      </c>
    </row>
    <row r="279" spans="1:17" s="3" customFormat="1" ht="14.5">
      <c r="A279" s="793" t="s">
        <v>99</v>
      </c>
      <c r="B279" s="793"/>
      <c r="C279" s="793"/>
      <c r="D279" s="793"/>
      <c r="E279" s="793"/>
      <c r="F279" s="793"/>
      <c r="G279" s="793"/>
      <c r="H279" s="793"/>
      <c r="I279" s="793"/>
      <c r="J279" s="793"/>
      <c r="K279" s="793"/>
      <c r="L279" s="793"/>
      <c r="M279" s="793"/>
      <c r="N279" s="793"/>
      <c r="O279" s="793"/>
      <c r="P279" s="793"/>
      <c r="Q279" s="793"/>
    </row>
    <row r="280" spans="1:17" s="3" customFormat="1" ht="18.75" customHeight="1">
      <c r="A280" s="901" t="s">
        <v>95</v>
      </c>
      <c r="B280" s="902"/>
      <c r="C280" s="902"/>
      <c r="D280" s="902"/>
      <c r="E280" s="902"/>
      <c r="F280" s="903"/>
      <c r="G280" s="901"/>
      <c r="H280" s="902"/>
      <c r="I280" s="902"/>
      <c r="J280" s="902"/>
      <c r="K280" s="902"/>
      <c r="L280" s="902"/>
      <c r="M280" s="902"/>
      <c r="N280" s="902"/>
      <c r="O280" s="902"/>
      <c r="P280" s="902"/>
      <c r="Q280" s="903"/>
    </row>
    <row r="281" spans="1:17" s="3" customFormat="1" ht="18.75" customHeight="1">
      <c r="A281" s="711" t="s">
        <v>97</v>
      </c>
      <c r="B281" s="712"/>
      <c r="C281" s="712"/>
      <c r="D281" s="712"/>
      <c r="E281" s="712"/>
      <c r="F281" s="713"/>
      <c r="G281" s="20" t="s">
        <v>105</v>
      </c>
      <c r="H281" s="20" t="s">
        <v>105</v>
      </c>
      <c r="I281" s="20" t="s">
        <v>105</v>
      </c>
      <c r="J281" s="20" t="s">
        <v>105</v>
      </c>
      <c r="K281" s="20" t="s">
        <v>105</v>
      </c>
      <c r="L281" s="20" t="s">
        <v>105</v>
      </c>
      <c r="M281" s="20" t="s">
        <v>105</v>
      </c>
      <c r="N281" s="20" t="s">
        <v>105</v>
      </c>
      <c r="O281" s="20" t="s">
        <v>105</v>
      </c>
      <c r="P281" s="20" t="s">
        <v>105</v>
      </c>
      <c r="Q281" s="20" t="s">
        <v>105</v>
      </c>
    </row>
    <row r="282" spans="1:17" s="3" customFormat="1" ht="18.75" customHeight="1">
      <c r="A282" s="711">
        <v>1</v>
      </c>
      <c r="B282" s="712"/>
      <c r="C282" s="712"/>
      <c r="D282" s="712"/>
      <c r="E282" s="712"/>
      <c r="F282" s="713"/>
      <c r="G282" s="91">
        <v>-3.0000000000000001E-5</v>
      </c>
      <c r="H282" s="101">
        <v>0.392847</v>
      </c>
      <c r="I282" s="111">
        <v>0.78449100000000005</v>
      </c>
      <c r="J282" s="121">
        <v>1.1664330000000001</v>
      </c>
      <c r="K282" s="131">
        <v>1.5512649999999999</v>
      </c>
      <c r="L282" s="141">
        <v>1.9214899999999999</v>
      </c>
      <c r="M282" s="151">
        <v>2.2773490000000001</v>
      </c>
      <c r="N282" s="161">
        <v>2.6954950000000002</v>
      </c>
      <c r="O282" s="171">
        <v>3.0762890000000001</v>
      </c>
      <c r="P282" s="181">
        <v>3.447943</v>
      </c>
      <c r="Q282" s="191">
        <v>3.8222450000000001</v>
      </c>
    </row>
    <row r="283" spans="1:17" s="3" customFormat="1" ht="18.75" customHeight="1">
      <c r="A283" s="711">
        <v>2</v>
      </c>
      <c r="B283" s="712"/>
      <c r="C283" s="712"/>
      <c r="D283" s="712"/>
      <c r="E283" s="712"/>
      <c r="F283" s="713"/>
      <c r="G283" s="92">
        <v>3.4E-5</v>
      </c>
      <c r="H283" s="102">
        <v>0.39214399999999999</v>
      </c>
      <c r="I283" s="112">
        <v>0.78276900000000005</v>
      </c>
      <c r="J283" s="122">
        <v>1.162636</v>
      </c>
      <c r="K283" s="132">
        <v>1.5518400000000001</v>
      </c>
      <c r="L283" s="142">
        <v>1.934885</v>
      </c>
      <c r="M283" s="152">
        <v>2.2899099999999999</v>
      </c>
      <c r="N283" s="162">
        <v>2.6998530000000001</v>
      </c>
      <c r="O283" s="172">
        <v>3.0764610000000001</v>
      </c>
      <c r="P283" s="182">
        <v>3.4466860000000001</v>
      </c>
      <c r="Q283" s="192">
        <v>3.8222209999999999</v>
      </c>
    </row>
    <row r="284" spans="1:17" s="3" customFormat="1" ht="18.75" customHeight="1">
      <c r="A284" s="711">
        <v>3</v>
      </c>
      <c r="B284" s="712"/>
      <c r="C284" s="712"/>
      <c r="D284" s="712"/>
      <c r="E284" s="712"/>
      <c r="F284" s="713"/>
      <c r="G284" s="93">
        <v>-2.1999999999999999E-5</v>
      </c>
      <c r="H284" s="103">
        <v>0.39273799999999998</v>
      </c>
      <c r="I284" s="113">
        <v>0.78447900000000004</v>
      </c>
      <c r="J284" s="123">
        <v>1.167802</v>
      </c>
      <c r="K284" s="133">
        <v>1.5523340000000001</v>
      </c>
      <c r="L284" s="143">
        <v>1.938733</v>
      </c>
      <c r="M284" s="153">
        <v>2.2879170000000002</v>
      </c>
      <c r="N284" s="163">
        <v>2.697174</v>
      </c>
      <c r="O284" s="173">
        <v>3.0737960000000002</v>
      </c>
      <c r="P284" s="183">
        <v>3.4518930000000001</v>
      </c>
      <c r="Q284" s="193">
        <v>3.8060689999999999</v>
      </c>
    </row>
    <row r="285" spans="1:17" s="3" customFormat="1" ht="18.75" customHeight="1">
      <c r="A285" s="711">
        <v>4</v>
      </c>
      <c r="B285" s="712"/>
      <c r="C285" s="712"/>
      <c r="D285" s="712"/>
      <c r="E285" s="712"/>
      <c r="F285" s="713"/>
      <c r="G285" s="94">
        <v>-8.8999999999999995E-5</v>
      </c>
      <c r="H285" s="104">
        <v>0.39291100000000001</v>
      </c>
      <c r="I285" s="114">
        <v>0.78242599999999995</v>
      </c>
      <c r="J285" s="124">
        <v>1.15907</v>
      </c>
      <c r="K285" s="134">
        <v>1.55098</v>
      </c>
      <c r="L285" s="144">
        <v>1.9255150000000001</v>
      </c>
      <c r="M285" s="154">
        <v>2.2881629999999999</v>
      </c>
      <c r="N285" s="164">
        <v>2.7080929999999999</v>
      </c>
      <c r="O285" s="174">
        <v>3.0828090000000001</v>
      </c>
      <c r="P285" s="184">
        <v>3.4511150000000002</v>
      </c>
      <c r="Q285" s="194">
        <v>3.8151739999999998</v>
      </c>
    </row>
    <row r="286" spans="1:17" s="3" customFormat="1" ht="18.75" customHeight="1">
      <c r="A286" s="711">
        <v>5</v>
      </c>
      <c r="B286" s="712"/>
      <c r="C286" s="712"/>
      <c r="D286" s="712"/>
      <c r="E286" s="712"/>
      <c r="F286" s="713"/>
      <c r="G286" s="95">
        <v>2.4000000000000001E-5</v>
      </c>
      <c r="H286" s="105">
        <v>0.39194400000000001</v>
      </c>
      <c r="I286" s="115">
        <v>0.78577900000000001</v>
      </c>
      <c r="J286" s="125">
        <v>1.1668000000000001</v>
      </c>
      <c r="K286" s="135">
        <v>1.5515840000000001</v>
      </c>
      <c r="L286" s="145">
        <v>1.923576</v>
      </c>
      <c r="M286" s="155">
        <v>2.2880919999999998</v>
      </c>
      <c r="N286" s="165">
        <v>2.708024</v>
      </c>
      <c r="O286" s="175">
        <v>3.0750060000000001</v>
      </c>
      <c r="P286" s="185">
        <v>3.4432749999999999</v>
      </c>
      <c r="Q286" s="195">
        <v>3.802724</v>
      </c>
    </row>
    <row r="287" spans="1:17" s="3" customFormat="1" ht="18.75" customHeight="1">
      <c r="A287" s="913" t="s">
        <v>217</v>
      </c>
      <c r="B287" s="914"/>
      <c r="C287" s="914"/>
      <c r="D287" s="914"/>
      <c r="E287" s="914"/>
      <c r="F287" s="915"/>
      <c r="G287" s="60" t="s">
        <v>280</v>
      </c>
      <c r="H287" s="60" t="s">
        <v>96</v>
      </c>
      <c r="I287" s="60" t="s">
        <v>96</v>
      </c>
      <c r="J287" s="60" t="s">
        <v>96</v>
      </c>
      <c r="K287" s="51" t="str">
        <f t="shared" ref="K287:Q287" si="3">IF(MAX(K282:K286) &gt;= 2, "是", "否")</f>
        <v>否</v>
      </c>
      <c r="L287" s="51" t="str">
        <f t="shared" si="3"/>
        <v>否</v>
      </c>
      <c r="M287" s="51" t="str">
        <f t="shared" si="3"/>
        <v>是</v>
      </c>
      <c r="N287" s="51" t="str">
        <f t="shared" si="3"/>
        <v>是</v>
      </c>
      <c r="O287" s="51" t="str">
        <f t="shared" si="3"/>
        <v>是</v>
      </c>
      <c r="P287" s="51" t="str">
        <f t="shared" si="3"/>
        <v>是</v>
      </c>
      <c r="Q287" s="51" t="str">
        <f t="shared" si="3"/>
        <v>是</v>
      </c>
    </row>
    <row r="288" spans="1:17" s="3" customFormat="1" ht="18.75" customHeight="1">
      <c r="A288" s="923" t="s">
        <v>253</v>
      </c>
      <c r="B288" s="924"/>
      <c r="C288" s="924"/>
      <c r="D288" s="924"/>
      <c r="E288" s="924"/>
      <c r="F288" s="925"/>
      <c r="G288" s="60" t="s">
        <v>96</v>
      </c>
      <c r="H288" s="60" t="s">
        <v>96</v>
      </c>
      <c r="I288" s="60" t="s">
        <v>96</v>
      </c>
      <c r="J288" s="50" t="s">
        <v>96</v>
      </c>
      <c r="K288" s="197">
        <v>-3.1800399999999999E-3</v>
      </c>
      <c r="L288" s="199">
        <v>-8.3429200000000002E-3</v>
      </c>
      <c r="M288" s="201">
        <v>-2.026847E-2</v>
      </c>
      <c r="N288" s="203">
        <v>-7.4842299999999997E-3</v>
      </c>
      <c r="O288" s="205">
        <v>-1.0848480000000001E-2</v>
      </c>
      <c r="P288" s="207">
        <v>-1.4561350000000001E-2</v>
      </c>
      <c r="Q288" s="209">
        <v>-1.9025299999999998E-2</v>
      </c>
    </row>
    <row r="289" spans="1:17" s="3" customFormat="1" ht="18.75" customHeight="1">
      <c r="A289" s="923" t="s">
        <v>6</v>
      </c>
      <c r="B289" s="924"/>
      <c r="C289" s="924"/>
      <c r="D289" s="924"/>
      <c r="E289" s="924"/>
      <c r="F289" s="925"/>
      <c r="G289" s="60" t="s">
        <v>96</v>
      </c>
      <c r="H289" s="60" t="s">
        <v>96</v>
      </c>
      <c r="I289" s="60" t="s">
        <v>96</v>
      </c>
      <c r="J289" s="60" t="s">
        <v>96</v>
      </c>
      <c r="K289" s="61" t="str">
        <f t="shared" ref="K289:Q289" si="4">IF(OR(ABS(K288) &lt; 5%, MAX(K282:K286) &gt; 2), "Pass", "Fail")</f>
        <v>Pass</v>
      </c>
      <c r="L289" s="61" t="str">
        <f t="shared" si="4"/>
        <v>Pass</v>
      </c>
      <c r="M289" s="61" t="str">
        <f t="shared" si="4"/>
        <v>Pass</v>
      </c>
      <c r="N289" s="61" t="str">
        <f t="shared" si="4"/>
        <v>Pass</v>
      </c>
      <c r="O289" s="61" t="str">
        <f t="shared" si="4"/>
        <v>Pass</v>
      </c>
      <c r="P289" s="61" t="str">
        <f t="shared" si="4"/>
        <v>Pass</v>
      </c>
      <c r="Q289" s="61" t="str">
        <f t="shared" si="4"/>
        <v>Pass</v>
      </c>
    </row>
    <row r="290" spans="1:17" s="3" customFormat="1" ht="14.5">
      <c r="A290" s="793" t="s">
        <v>100</v>
      </c>
      <c r="B290" s="793"/>
      <c r="C290" s="793"/>
      <c r="D290" s="793"/>
      <c r="E290" s="793"/>
      <c r="F290" s="793"/>
      <c r="G290" s="793"/>
      <c r="H290" s="793"/>
      <c r="I290" s="793"/>
      <c r="J290" s="793"/>
      <c r="K290" s="793"/>
      <c r="L290" s="793"/>
      <c r="M290" s="793"/>
      <c r="N290" s="793"/>
      <c r="O290" s="793"/>
      <c r="P290" s="793"/>
      <c r="Q290" s="793"/>
    </row>
    <row r="291" spans="1:17" s="3" customFormat="1" ht="18.75" customHeight="1">
      <c r="A291" s="901" t="s">
        <v>95</v>
      </c>
      <c r="B291" s="902"/>
      <c r="C291" s="902"/>
      <c r="D291" s="902"/>
      <c r="E291" s="902"/>
      <c r="F291" s="903"/>
      <c r="G291" s="901"/>
      <c r="H291" s="902"/>
      <c r="I291" s="902"/>
      <c r="J291" s="902"/>
      <c r="K291" s="902"/>
      <c r="L291" s="902"/>
      <c r="M291" s="902"/>
      <c r="N291" s="902"/>
      <c r="O291" s="902"/>
      <c r="P291" s="902"/>
      <c r="Q291" s="903"/>
    </row>
    <row r="292" spans="1:17" s="3" customFormat="1" ht="18.75" customHeight="1">
      <c r="A292" s="711" t="s">
        <v>97</v>
      </c>
      <c r="B292" s="712"/>
      <c r="C292" s="712"/>
      <c r="D292" s="712"/>
      <c r="E292" s="712"/>
      <c r="F292" s="713"/>
      <c r="G292" s="20" t="s">
        <v>105</v>
      </c>
      <c r="H292" s="20" t="s">
        <v>105</v>
      </c>
      <c r="I292" s="20" t="s">
        <v>105</v>
      </c>
      <c r="J292" s="20" t="s">
        <v>105</v>
      </c>
      <c r="K292" s="20" t="s">
        <v>105</v>
      </c>
      <c r="L292" s="20" t="s">
        <v>105</v>
      </c>
      <c r="M292" s="20" t="s">
        <v>105</v>
      </c>
      <c r="N292" s="20" t="s">
        <v>105</v>
      </c>
      <c r="O292" s="20" t="s">
        <v>105</v>
      </c>
      <c r="P292" s="20" t="s">
        <v>105</v>
      </c>
      <c r="Q292" s="20" t="s">
        <v>105</v>
      </c>
    </row>
    <row r="293" spans="1:17" s="3" customFormat="1" ht="18.75" customHeight="1">
      <c r="A293" s="711">
        <v>1</v>
      </c>
      <c r="B293" s="712"/>
      <c r="C293" s="712"/>
      <c r="D293" s="712"/>
      <c r="E293" s="712"/>
      <c r="F293" s="713"/>
      <c r="G293" s="210">
        <v>2.4000000000000001E-5</v>
      </c>
      <c r="H293" s="220">
        <v>0.39366299999999999</v>
      </c>
      <c r="I293" s="230">
        <v>0.78902000000000005</v>
      </c>
      <c r="J293" s="240">
        <v>1.1823520000000001</v>
      </c>
      <c r="K293" s="250">
        <v>1.562111</v>
      </c>
      <c r="L293" s="260">
        <v>1.93394</v>
      </c>
      <c r="M293" s="270">
        <v>2.2986900000000001</v>
      </c>
      <c r="N293" s="280">
        <v>2.7327970000000001</v>
      </c>
      <c r="O293" s="290">
        <v>3.0931419999999998</v>
      </c>
      <c r="P293" s="300">
        <v>3.5200969999999998</v>
      </c>
      <c r="Q293" s="310">
        <v>3.8663379999999998</v>
      </c>
    </row>
    <row r="294" spans="1:17" s="3" customFormat="1" ht="18.75" customHeight="1">
      <c r="A294" s="711">
        <v>2</v>
      </c>
      <c r="B294" s="712"/>
      <c r="C294" s="712"/>
      <c r="D294" s="712"/>
      <c r="E294" s="712"/>
      <c r="F294" s="713"/>
      <c r="G294" s="211">
        <v>-2.6400000000000002E-4</v>
      </c>
      <c r="H294" s="221">
        <v>0.39566200000000001</v>
      </c>
      <c r="I294" s="231">
        <v>0.78668300000000002</v>
      </c>
      <c r="J294" s="241">
        <v>1.1714560000000001</v>
      </c>
      <c r="K294" s="251">
        <v>1.5778920000000001</v>
      </c>
      <c r="L294" s="261">
        <v>1.934172</v>
      </c>
      <c r="M294" s="271">
        <v>2.307871</v>
      </c>
      <c r="N294" s="281">
        <v>2.7417099999999999</v>
      </c>
      <c r="O294" s="291">
        <v>3.089499</v>
      </c>
      <c r="P294" s="301">
        <v>3.5183740000000001</v>
      </c>
      <c r="Q294" s="311">
        <v>3.8795250000000001</v>
      </c>
    </row>
    <row r="295" spans="1:17" s="3" customFormat="1" ht="18.75" customHeight="1">
      <c r="A295" s="711">
        <v>3</v>
      </c>
      <c r="B295" s="712"/>
      <c r="C295" s="712"/>
      <c r="D295" s="712"/>
      <c r="E295" s="712"/>
      <c r="F295" s="713"/>
      <c r="G295" s="212">
        <v>-3.0000000000000001E-5</v>
      </c>
      <c r="H295" s="222">
        <v>0.395673</v>
      </c>
      <c r="I295" s="232">
        <v>0.78675700000000004</v>
      </c>
      <c r="J295" s="242">
        <v>1.170212</v>
      </c>
      <c r="K295" s="252">
        <v>1.5590539999999999</v>
      </c>
      <c r="L295" s="262">
        <v>1.940051</v>
      </c>
      <c r="M295" s="272">
        <v>2.3042690000000001</v>
      </c>
      <c r="N295" s="282">
        <v>2.7144810000000001</v>
      </c>
      <c r="O295" s="292">
        <v>3.1053989999999998</v>
      </c>
      <c r="P295" s="302">
        <v>3.4995620000000001</v>
      </c>
      <c r="Q295" s="312">
        <v>3.8633280000000001</v>
      </c>
    </row>
    <row r="296" spans="1:17" s="3" customFormat="1" ht="18.75" customHeight="1">
      <c r="A296" s="711">
        <v>4</v>
      </c>
      <c r="B296" s="712"/>
      <c r="C296" s="712"/>
      <c r="D296" s="712"/>
      <c r="E296" s="712"/>
      <c r="F296" s="713"/>
      <c r="G296" s="213">
        <v>-1.7E-5</v>
      </c>
      <c r="H296" s="223">
        <v>0.394092</v>
      </c>
      <c r="I296" s="233">
        <v>0.78814499999999998</v>
      </c>
      <c r="J296" s="243">
        <v>1.176682</v>
      </c>
      <c r="K296" s="253">
        <v>1.577467</v>
      </c>
      <c r="L296" s="263">
        <v>1.9376519999999999</v>
      </c>
      <c r="M296" s="273">
        <v>2.3006690000000001</v>
      </c>
      <c r="N296" s="283">
        <v>2.7106699999999999</v>
      </c>
      <c r="O296" s="293">
        <v>3.0991770000000001</v>
      </c>
      <c r="P296" s="303">
        <v>3.48671</v>
      </c>
      <c r="Q296" s="313">
        <v>3.860052</v>
      </c>
    </row>
    <row r="297" spans="1:17" s="3" customFormat="1" ht="18.75" customHeight="1">
      <c r="A297" s="711">
        <v>5</v>
      </c>
      <c r="B297" s="712"/>
      <c r="C297" s="712"/>
      <c r="D297" s="712"/>
      <c r="E297" s="712"/>
      <c r="F297" s="713"/>
      <c r="G297" s="214">
        <v>-4.1300000000000001E-4</v>
      </c>
      <c r="H297" s="224">
        <v>0.39573599999999998</v>
      </c>
      <c r="I297" s="234">
        <v>0.78676000000000001</v>
      </c>
      <c r="J297" s="244">
        <v>1.1737610000000001</v>
      </c>
      <c r="K297" s="254">
        <v>1.5608519999999999</v>
      </c>
      <c r="L297" s="264">
        <v>1.945049</v>
      </c>
      <c r="M297" s="274">
        <v>2.2981609999999999</v>
      </c>
      <c r="N297" s="284">
        <v>2.7033429999999998</v>
      </c>
      <c r="O297" s="294">
        <v>3.1169449999999999</v>
      </c>
      <c r="P297" s="304">
        <v>3.5028160000000002</v>
      </c>
      <c r="Q297" s="314">
        <v>3.8796390000000001</v>
      </c>
    </row>
    <row r="298" spans="1:17" s="3" customFormat="1" ht="18.75" customHeight="1">
      <c r="A298" s="913" t="s">
        <v>217</v>
      </c>
      <c r="B298" s="914"/>
      <c r="C298" s="914"/>
      <c r="D298" s="914"/>
      <c r="E298" s="914"/>
      <c r="F298" s="915"/>
      <c r="G298" s="50" t="s">
        <v>96</v>
      </c>
      <c r="H298" s="50" t="s">
        <v>96</v>
      </c>
      <c r="I298" s="50" t="s">
        <v>96</v>
      </c>
      <c r="J298" s="50" t="s">
        <v>96</v>
      </c>
      <c r="K298" s="51" t="str">
        <f t="shared" ref="K298:Q298" si="5">IF(MAX(K293:K297) &gt;= 2, "是", "否")</f>
        <v>否</v>
      </c>
      <c r="L298" s="51" t="str">
        <f t="shared" si="5"/>
        <v>否</v>
      </c>
      <c r="M298" s="51" t="str">
        <f t="shared" si="5"/>
        <v>是</v>
      </c>
      <c r="N298" s="51" t="str">
        <f t="shared" si="5"/>
        <v>是</v>
      </c>
      <c r="O298" s="51" t="str">
        <f t="shared" si="5"/>
        <v>是</v>
      </c>
      <c r="P298" s="51" t="str">
        <f t="shared" si="5"/>
        <v>是</v>
      </c>
      <c r="Q298" s="51" t="str">
        <f t="shared" si="5"/>
        <v>是</v>
      </c>
    </row>
    <row r="299" spans="1:17" s="3" customFormat="1" ht="18.75" customHeight="1">
      <c r="A299" s="923" t="s">
        <v>253</v>
      </c>
      <c r="B299" s="924"/>
      <c r="C299" s="924"/>
      <c r="D299" s="924"/>
      <c r="E299" s="924"/>
      <c r="F299" s="925"/>
      <c r="G299" s="50" t="s">
        <v>96</v>
      </c>
      <c r="H299" s="50" t="s">
        <v>96</v>
      </c>
      <c r="I299" s="50" t="s">
        <v>96</v>
      </c>
      <c r="J299" s="50" t="s">
        <v>96</v>
      </c>
      <c r="K299" s="320">
        <v>-7.8032999999999998E-4</v>
      </c>
      <c r="L299" s="322">
        <v>-1.1368079999999999E-2</v>
      </c>
      <c r="M299" s="324">
        <v>-2.1379039999999998E-2</v>
      </c>
      <c r="N299" s="326">
        <v>-8.5207500000000005E-3</v>
      </c>
      <c r="O299" s="328">
        <v>-1.113272E-2</v>
      </c>
      <c r="P299" s="330">
        <v>-6.23384E-3</v>
      </c>
      <c r="Q299" s="332">
        <v>-1.2626470000000001E-2</v>
      </c>
    </row>
    <row r="300" spans="1:17" s="3" customFormat="1" ht="18.75" customHeight="1">
      <c r="A300" s="923" t="s">
        <v>6</v>
      </c>
      <c r="B300" s="924"/>
      <c r="C300" s="924"/>
      <c r="D300" s="924"/>
      <c r="E300" s="924"/>
      <c r="F300" s="925"/>
      <c r="G300" s="50" t="s">
        <v>96</v>
      </c>
      <c r="H300" s="50" t="s">
        <v>96</v>
      </c>
      <c r="I300" s="50" t="s">
        <v>96</v>
      </c>
      <c r="J300" s="50" t="s">
        <v>96</v>
      </c>
      <c r="K300" s="53" t="str">
        <f t="shared" ref="K300:Q300" si="6">IF(OR(ABS(K299) &lt; 5%, MAX(K293:K297) &gt; 2), "Pass", "Fail")</f>
        <v>Pass</v>
      </c>
      <c r="L300" s="53" t="str">
        <f t="shared" si="6"/>
        <v>Pass</v>
      </c>
      <c r="M300" s="53" t="str">
        <f t="shared" si="6"/>
        <v>Pass</v>
      </c>
      <c r="N300" s="53" t="str">
        <f t="shared" si="6"/>
        <v>Pass</v>
      </c>
      <c r="O300" s="53" t="str">
        <f t="shared" si="6"/>
        <v>Pass</v>
      </c>
      <c r="P300" s="53" t="str">
        <f t="shared" si="6"/>
        <v>Pass</v>
      </c>
      <c r="Q300" s="53" t="str">
        <f t="shared" si="6"/>
        <v>Pass</v>
      </c>
    </row>
    <row r="301" spans="1:17" s="3" customFormat="1" ht="14.5">
      <c r="A301" s="793" t="s">
        <v>101</v>
      </c>
      <c r="B301" s="793"/>
      <c r="C301" s="793"/>
      <c r="D301" s="793"/>
      <c r="E301" s="793"/>
      <c r="F301" s="793"/>
      <c r="G301" s="793"/>
      <c r="H301" s="793"/>
      <c r="I301" s="793"/>
      <c r="J301" s="793"/>
      <c r="K301" s="793"/>
      <c r="L301" s="793"/>
      <c r="M301" s="793"/>
      <c r="N301" s="793"/>
      <c r="O301" s="793"/>
      <c r="P301" s="793"/>
      <c r="Q301" s="793"/>
    </row>
    <row r="302" spans="1:17" s="3" customFormat="1" ht="18" customHeight="1">
      <c r="A302" s="901" t="s">
        <v>95</v>
      </c>
      <c r="B302" s="902"/>
      <c r="C302" s="902"/>
      <c r="D302" s="902"/>
      <c r="E302" s="902"/>
      <c r="F302" s="903"/>
      <c r="G302" s="901"/>
      <c r="H302" s="902"/>
      <c r="I302" s="902"/>
      <c r="J302" s="902"/>
      <c r="K302" s="902"/>
      <c r="L302" s="902"/>
      <c r="M302" s="902"/>
      <c r="N302" s="902"/>
      <c r="O302" s="902"/>
      <c r="P302" s="902"/>
      <c r="Q302" s="903"/>
    </row>
    <row r="303" spans="1:17" s="3" customFormat="1" ht="18" customHeight="1">
      <c r="A303" s="711" t="s">
        <v>97</v>
      </c>
      <c r="B303" s="712"/>
      <c r="C303" s="712"/>
      <c r="D303" s="712"/>
      <c r="E303" s="712"/>
      <c r="F303" s="713"/>
      <c r="G303" s="20" t="s">
        <v>105</v>
      </c>
      <c r="H303" s="20" t="s">
        <v>105</v>
      </c>
      <c r="I303" s="20" t="s">
        <v>105</v>
      </c>
      <c r="J303" s="20" t="s">
        <v>105</v>
      </c>
      <c r="K303" s="20" t="s">
        <v>105</v>
      </c>
      <c r="L303" s="20" t="s">
        <v>105</v>
      </c>
      <c r="M303" s="20" t="s">
        <v>105</v>
      </c>
      <c r="N303" s="20" t="s">
        <v>105</v>
      </c>
      <c r="O303" s="20" t="s">
        <v>105</v>
      </c>
      <c r="P303" s="20" t="s">
        <v>105</v>
      </c>
      <c r="Q303" s="20" t="s">
        <v>105</v>
      </c>
    </row>
    <row r="304" spans="1:17" s="3" customFormat="1" ht="18" customHeight="1">
      <c r="A304" s="711">
        <v>1</v>
      </c>
      <c r="B304" s="712"/>
      <c r="C304" s="712"/>
      <c r="D304" s="712"/>
      <c r="E304" s="712"/>
      <c r="F304" s="713"/>
      <c r="G304" s="215">
        <v>-3.0000000000000001E-5</v>
      </c>
      <c r="H304" s="225">
        <v>0.392847</v>
      </c>
      <c r="I304" s="235">
        <v>0.78449100000000005</v>
      </c>
      <c r="J304" s="245">
        <v>1.1664330000000001</v>
      </c>
      <c r="K304" s="255">
        <v>1.5512649999999999</v>
      </c>
      <c r="L304" s="265">
        <v>1.9214899999999999</v>
      </c>
      <c r="M304" s="275">
        <v>2.2773490000000001</v>
      </c>
      <c r="N304" s="285">
        <v>2.6954950000000002</v>
      </c>
      <c r="O304" s="295">
        <v>3.0762890000000001</v>
      </c>
      <c r="P304" s="305">
        <v>3.447943</v>
      </c>
      <c r="Q304" s="315">
        <v>3.8222450000000001</v>
      </c>
    </row>
    <row r="305" spans="1:17" s="3" customFormat="1" ht="18" customHeight="1">
      <c r="A305" s="711">
        <v>2</v>
      </c>
      <c r="B305" s="712"/>
      <c r="C305" s="712"/>
      <c r="D305" s="712"/>
      <c r="E305" s="712"/>
      <c r="F305" s="713"/>
      <c r="G305" s="216">
        <v>3.4E-5</v>
      </c>
      <c r="H305" s="226">
        <v>0.39214399999999999</v>
      </c>
      <c r="I305" s="236">
        <v>0.78276900000000005</v>
      </c>
      <c r="J305" s="246">
        <v>1.162636</v>
      </c>
      <c r="K305" s="256">
        <v>1.5518400000000001</v>
      </c>
      <c r="L305" s="266">
        <v>1.934885</v>
      </c>
      <c r="M305" s="276">
        <v>2.2899099999999999</v>
      </c>
      <c r="N305" s="286">
        <v>2.6998530000000001</v>
      </c>
      <c r="O305" s="296">
        <v>3.0764610000000001</v>
      </c>
      <c r="P305" s="306">
        <v>3.4466860000000001</v>
      </c>
      <c r="Q305" s="316">
        <v>3.8222209999999999</v>
      </c>
    </row>
    <row r="306" spans="1:17" s="3" customFormat="1" ht="18" customHeight="1">
      <c r="A306" s="711">
        <v>3</v>
      </c>
      <c r="B306" s="712"/>
      <c r="C306" s="712"/>
      <c r="D306" s="712"/>
      <c r="E306" s="712"/>
      <c r="F306" s="713"/>
      <c r="G306" s="217">
        <v>-2.1999999999999999E-5</v>
      </c>
      <c r="H306" s="227">
        <v>0.39273799999999998</v>
      </c>
      <c r="I306" s="237">
        <v>0.78447900000000004</v>
      </c>
      <c r="J306" s="247">
        <v>1.167802</v>
      </c>
      <c r="K306" s="257">
        <v>1.5523340000000001</v>
      </c>
      <c r="L306" s="267">
        <v>1.938733</v>
      </c>
      <c r="M306" s="277">
        <v>2.2879170000000002</v>
      </c>
      <c r="N306" s="287">
        <v>2.697174</v>
      </c>
      <c r="O306" s="297">
        <v>3.0737960000000002</v>
      </c>
      <c r="P306" s="307">
        <v>3.4518930000000001</v>
      </c>
      <c r="Q306" s="317">
        <v>3.8060689999999999</v>
      </c>
    </row>
    <row r="307" spans="1:17" s="3" customFormat="1" ht="18" customHeight="1">
      <c r="A307" s="711">
        <v>4</v>
      </c>
      <c r="B307" s="712"/>
      <c r="C307" s="712"/>
      <c r="D307" s="712"/>
      <c r="E307" s="712"/>
      <c r="F307" s="713"/>
      <c r="G307" s="218">
        <v>-8.8999999999999995E-5</v>
      </c>
      <c r="H307" s="228">
        <v>0.39291100000000001</v>
      </c>
      <c r="I307" s="238">
        <v>0.78242599999999995</v>
      </c>
      <c r="J307" s="248">
        <v>1.15907</v>
      </c>
      <c r="K307" s="258">
        <v>1.55098</v>
      </c>
      <c r="L307" s="268">
        <v>1.9255150000000001</v>
      </c>
      <c r="M307" s="278">
        <v>2.2881629999999999</v>
      </c>
      <c r="N307" s="288">
        <v>2.7080929999999999</v>
      </c>
      <c r="O307" s="298">
        <v>3.0828090000000001</v>
      </c>
      <c r="P307" s="308">
        <v>3.4511150000000002</v>
      </c>
      <c r="Q307" s="318">
        <v>3.8151739999999998</v>
      </c>
    </row>
    <row r="308" spans="1:17" s="3" customFormat="1" ht="18" customHeight="1">
      <c r="A308" s="711">
        <v>5</v>
      </c>
      <c r="B308" s="712"/>
      <c r="C308" s="712"/>
      <c r="D308" s="712"/>
      <c r="E308" s="712"/>
      <c r="F308" s="713"/>
      <c r="G308" s="219">
        <v>2.4000000000000001E-5</v>
      </c>
      <c r="H308" s="229">
        <v>0.39194400000000001</v>
      </c>
      <c r="I308" s="239">
        <v>0.78577900000000001</v>
      </c>
      <c r="J308" s="249">
        <v>1.1668000000000001</v>
      </c>
      <c r="K308" s="259">
        <v>1.5515840000000001</v>
      </c>
      <c r="L308" s="269">
        <v>1.923576</v>
      </c>
      <c r="M308" s="279">
        <v>2.2880919999999998</v>
      </c>
      <c r="N308" s="289">
        <v>2.708024</v>
      </c>
      <c r="O308" s="299">
        <v>3.0750060000000001</v>
      </c>
      <c r="P308" s="309">
        <v>3.4432749999999999</v>
      </c>
      <c r="Q308" s="319">
        <v>3.802724</v>
      </c>
    </row>
    <row r="309" spans="1:17" s="3" customFormat="1" ht="18" customHeight="1">
      <c r="A309" s="913" t="s">
        <v>217</v>
      </c>
      <c r="B309" s="914"/>
      <c r="C309" s="914"/>
      <c r="D309" s="914"/>
      <c r="E309" s="914"/>
      <c r="F309" s="915"/>
      <c r="G309" s="50" t="s">
        <v>96</v>
      </c>
      <c r="H309" s="50" t="s">
        <v>96</v>
      </c>
      <c r="I309" s="50" t="s">
        <v>96</v>
      </c>
      <c r="J309" s="50" t="s">
        <v>96</v>
      </c>
      <c r="K309" s="51" t="str">
        <f t="shared" ref="K309:Q309" si="7">IF(MAX(K304:K308) &gt;= 2, "是", "否")</f>
        <v>否</v>
      </c>
      <c r="L309" s="51" t="str">
        <f t="shared" si="7"/>
        <v>否</v>
      </c>
      <c r="M309" s="51" t="str">
        <f t="shared" si="7"/>
        <v>是</v>
      </c>
      <c r="N309" s="51" t="str">
        <f t="shared" si="7"/>
        <v>是</v>
      </c>
      <c r="O309" s="51" t="str">
        <f t="shared" si="7"/>
        <v>是</v>
      </c>
      <c r="P309" s="51" t="str">
        <f t="shared" si="7"/>
        <v>是</v>
      </c>
      <c r="Q309" s="51" t="str">
        <f t="shared" si="7"/>
        <v>是</v>
      </c>
    </row>
    <row r="310" spans="1:17" s="3" customFormat="1" ht="18" customHeight="1">
      <c r="A310" s="923" t="s">
        <v>253</v>
      </c>
      <c r="B310" s="924"/>
      <c r="C310" s="924"/>
      <c r="D310" s="924"/>
      <c r="E310" s="924"/>
      <c r="F310" s="925"/>
      <c r="G310" s="50" t="s">
        <v>96</v>
      </c>
      <c r="H310" s="50" t="s">
        <v>96</v>
      </c>
      <c r="I310" s="50" t="s">
        <v>96</v>
      </c>
      <c r="J310" s="50" t="s">
        <v>96</v>
      </c>
      <c r="K310" s="321">
        <v>-3.1800399999999999E-3</v>
      </c>
      <c r="L310" s="323">
        <v>-8.3429200000000002E-3</v>
      </c>
      <c r="M310" s="325">
        <v>-2.026847E-2</v>
      </c>
      <c r="N310" s="327">
        <v>-7.4842299999999997E-3</v>
      </c>
      <c r="O310" s="329">
        <v>-1.0848480000000001E-2</v>
      </c>
      <c r="P310" s="331">
        <v>-1.4561350000000001E-2</v>
      </c>
      <c r="Q310" s="333">
        <v>-1.9025299999999998E-2</v>
      </c>
    </row>
    <row r="311" spans="1:17" s="3" customFormat="1" ht="18" customHeight="1">
      <c r="A311" s="973" t="s">
        <v>6</v>
      </c>
      <c r="B311" s="973"/>
      <c r="C311" s="973"/>
      <c r="D311" s="973"/>
      <c r="E311" s="973"/>
      <c r="F311" s="973"/>
      <c r="G311" s="50" t="s">
        <v>96</v>
      </c>
      <c r="H311" s="50" t="s">
        <v>96</v>
      </c>
      <c r="I311" s="50" t="s">
        <v>96</v>
      </c>
      <c r="J311" s="50" t="s">
        <v>96</v>
      </c>
      <c r="K311" s="53" t="str">
        <f t="shared" ref="K311:Q311" si="8">IF(OR(ABS(K310) &lt; 5%, MAX(K304:K308) &gt; 2), "Pass", "Fail")</f>
        <v>Pass</v>
      </c>
      <c r="L311" s="53" t="str">
        <f t="shared" si="8"/>
        <v>Pass</v>
      </c>
      <c r="M311" s="53" t="str">
        <f t="shared" si="8"/>
        <v>Pass</v>
      </c>
      <c r="N311" s="53" t="str">
        <f t="shared" si="8"/>
        <v>Pass</v>
      </c>
      <c r="O311" s="53" t="str">
        <f t="shared" si="8"/>
        <v>Pass</v>
      </c>
      <c r="P311" s="53" t="str">
        <f t="shared" si="8"/>
        <v>Pass</v>
      </c>
      <c r="Q311" s="53" t="str">
        <f t="shared" si="8"/>
        <v>Pass</v>
      </c>
    </row>
    <row r="312" spans="1:17" s="69" customFormat="1">
      <c r="A312" s="926" t="s">
        <v>378</v>
      </c>
      <c r="B312" s="926"/>
      <c r="C312" s="926"/>
      <c r="D312" s="926"/>
      <c r="E312" s="926"/>
      <c r="F312" s="926"/>
      <c r="G312" s="926"/>
      <c r="H312" s="926"/>
      <c r="I312" s="926"/>
      <c r="J312" s="926"/>
      <c r="K312" s="926"/>
      <c r="L312" s="926"/>
      <c r="M312" s="926"/>
      <c r="N312" s="926"/>
      <c r="O312" s="926"/>
      <c r="P312" s="926"/>
      <c r="Q312" s="926"/>
    </row>
    <row r="313" spans="1:17" s="3" customFormat="1" ht="84.75" customHeight="1">
      <c r="A313" s="927" t="s">
        <v>373</v>
      </c>
      <c r="B313" s="927"/>
      <c r="C313" s="927"/>
      <c r="D313" s="927"/>
      <c r="E313" s="927"/>
      <c r="F313" s="927"/>
      <c r="G313" s="927"/>
      <c r="H313" s="927"/>
      <c r="I313" s="927"/>
      <c r="J313" s="927"/>
      <c r="K313" s="927"/>
      <c r="L313" s="927"/>
      <c r="M313" s="927"/>
      <c r="N313" s="927"/>
      <c r="O313" s="927"/>
      <c r="P313" s="927"/>
      <c r="Q313" s="927"/>
    </row>
    <row r="314" spans="1:17" s="3" customFormat="1">
      <c r="A314" s="684" t="s">
        <v>363</v>
      </c>
      <c r="B314" s="685"/>
      <c r="C314" s="685"/>
      <c r="D314" s="685"/>
      <c r="E314" s="685"/>
      <c r="F314" s="685"/>
      <c r="G314" s="685"/>
      <c r="H314" s="685"/>
      <c r="I314" s="685"/>
      <c r="J314" s="685"/>
      <c r="K314" s="685"/>
      <c r="L314" s="685"/>
      <c r="M314" s="685"/>
      <c r="N314" s="685"/>
      <c r="O314" s="685"/>
      <c r="P314" s="685"/>
      <c r="Q314" s="686"/>
    </row>
    <row r="315" spans="1:17" s="3" customFormat="1" ht="14.25" customHeight="1">
      <c r="A315" s="928" t="s">
        <v>73</v>
      </c>
      <c r="B315" s="928"/>
      <c r="C315" s="928" t="s">
        <v>324</v>
      </c>
      <c r="D315" s="928"/>
      <c r="E315" s="928"/>
      <c r="F315" s="928"/>
      <c r="G315" s="928"/>
      <c r="H315" s="928" t="s">
        <v>325</v>
      </c>
      <c r="I315" s="928"/>
      <c r="J315" s="928"/>
      <c r="K315" s="928"/>
      <c r="L315" s="928"/>
      <c r="M315" s="928" t="s">
        <v>326</v>
      </c>
      <c r="N315" s="928"/>
      <c r="O315" s="928"/>
      <c r="P315" s="928"/>
      <c r="Q315" s="928"/>
    </row>
    <row r="316" spans="1:17" s="3" customFormat="1">
      <c r="A316" s="928"/>
      <c r="B316" s="928"/>
      <c r="C316" s="795" t="s">
        <v>105</v>
      </c>
      <c r="D316" s="795"/>
      <c r="E316" s="795" t="s">
        <v>204</v>
      </c>
      <c r="F316" s="795"/>
      <c r="G316" s="795"/>
      <c r="H316" s="939" t="s">
        <v>98</v>
      </c>
      <c r="I316" s="940"/>
      <c r="J316" s="939" t="s">
        <v>54</v>
      </c>
      <c r="K316" s="941"/>
      <c r="L316" s="940"/>
      <c r="M316" s="795" t="s">
        <v>98</v>
      </c>
      <c r="N316" s="795"/>
      <c r="O316" s="795" t="s">
        <v>54</v>
      </c>
      <c r="P316" s="795"/>
      <c r="Q316" s="795"/>
    </row>
    <row r="317" spans="1:17" s="3" customFormat="1">
      <c r="A317" s="762">
        <v>1</v>
      </c>
      <c r="B317" s="762"/>
      <c r="C317" s="741">
        <v>0.64696200000000004</v>
      </c>
      <c r="D317" s="916"/>
      <c r="E317" s="741">
        <v>0.99122399999999999</v>
      </c>
      <c r="F317" s="916"/>
      <c r="G317" s="916"/>
      <c r="H317" s="741">
        <v>0.336094</v>
      </c>
      <c r="I317" s="929"/>
      <c r="J317" s="741">
        <v>5.0972910000000002</v>
      </c>
      <c r="K317" s="942"/>
      <c r="L317" s="929"/>
      <c r="M317" s="741">
        <v>1.4451339999999999</v>
      </c>
      <c r="N317" s="916"/>
      <c r="O317" s="741">
        <v>25.648251999999999</v>
      </c>
      <c r="P317" s="916"/>
      <c r="Q317" s="916"/>
    </row>
    <row r="318" spans="1:17" s="3" customFormat="1">
      <c r="A318" s="762">
        <v>2</v>
      </c>
      <c r="B318" s="762"/>
      <c r="C318" s="741">
        <v>0.657887</v>
      </c>
      <c r="D318" s="916"/>
      <c r="E318" s="741">
        <v>1.0080750000000001</v>
      </c>
      <c r="F318" s="916"/>
      <c r="G318" s="916"/>
      <c r="H318" s="741">
        <v>0.33665</v>
      </c>
      <c r="I318" s="929"/>
      <c r="J318" s="741">
        <v>5.10602</v>
      </c>
      <c r="K318" s="942"/>
      <c r="L318" s="929"/>
      <c r="M318" s="741">
        <v>1.437295</v>
      </c>
      <c r="N318" s="916"/>
      <c r="O318" s="741">
        <v>25.485486999999999</v>
      </c>
      <c r="P318" s="916"/>
      <c r="Q318" s="916"/>
    </row>
    <row r="319" spans="1:17" s="3" customFormat="1">
      <c r="A319" s="762">
        <v>3</v>
      </c>
      <c r="B319" s="762"/>
      <c r="C319" s="741">
        <v>0.66206200000000004</v>
      </c>
      <c r="D319" s="916"/>
      <c r="E319" s="741">
        <v>1.014516</v>
      </c>
      <c r="F319" s="916"/>
      <c r="G319" s="916"/>
      <c r="H319" s="741">
        <v>0.33787699999999998</v>
      </c>
      <c r="I319" s="929"/>
      <c r="J319" s="741">
        <v>5.1252880000000003</v>
      </c>
      <c r="K319" s="942"/>
      <c r="L319" s="929"/>
      <c r="M319" s="741">
        <v>1.4388669999999999</v>
      </c>
      <c r="N319" s="916"/>
      <c r="O319" s="741">
        <v>25.518103</v>
      </c>
      <c r="P319" s="916"/>
      <c r="Q319" s="916"/>
    </row>
    <row r="320" spans="1:17" s="3" customFormat="1">
      <c r="A320" s="762">
        <v>4</v>
      </c>
      <c r="B320" s="762"/>
      <c r="C320" s="741">
        <v>0.65860399999999997</v>
      </c>
      <c r="D320" s="916"/>
      <c r="E320" s="741">
        <v>1.0091810000000001</v>
      </c>
      <c r="F320" s="916"/>
      <c r="G320" s="916"/>
      <c r="H320" s="741">
        <v>0.33409499999999998</v>
      </c>
      <c r="I320" s="929"/>
      <c r="J320" s="741">
        <v>5.0659140000000003</v>
      </c>
      <c r="K320" s="942"/>
      <c r="L320" s="929"/>
      <c r="M320" s="741">
        <v>1.438741</v>
      </c>
      <c r="N320" s="916"/>
      <c r="O320" s="741">
        <v>25.515488000000001</v>
      </c>
      <c r="P320" s="916"/>
      <c r="Q320" s="916"/>
    </row>
    <row r="321" spans="1:17" s="3" customFormat="1">
      <c r="A321" s="762">
        <v>5</v>
      </c>
      <c r="B321" s="762"/>
      <c r="C321" s="741">
        <v>0.65980300000000003</v>
      </c>
      <c r="D321" s="916"/>
      <c r="E321" s="741">
        <v>1.011031</v>
      </c>
      <c r="F321" s="916"/>
      <c r="G321" s="916"/>
      <c r="H321" s="741">
        <v>0.33431300000000003</v>
      </c>
      <c r="I321" s="929"/>
      <c r="J321" s="741">
        <v>5.0693359999999998</v>
      </c>
      <c r="K321" s="942"/>
      <c r="L321" s="929"/>
      <c r="M321" s="741">
        <v>1.432104</v>
      </c>
      <c r="N321" s="916"/>
      <c r="O321" s="741">
        <v>25.377870000000001</v>
      </c>
      <c r="P321" s="916"/>
      <c r="Q321" s="916"/>
    </row>
    <row r="322" spans="1:17" s="3" customFormat="1">
      <c r="A322" s="762">
        <v>6</v>
      </c>
      <c r="B322" s="762"/>
      <c r="C322" s="741">
        <v>0.65621700000000005</v>
      </c>
      <c r="D322" s="916"/>
      <c r="E322" s="741">
        <v>1.0054989999999999</v>
      </c>
      <c r="F322" s="916"/>
      <c r="G322" s="916"/>
      <c r="H322" s="741">
        <v>0.33662300000000001</v>
      </c>
      <c r="I322" s="929"/>
      <c r="J322" s="741">
        <v>5.1055960000000002</v>
      </c>
      <c r="K322" s="942"/>
      <c r="L322" s="929"/>
      <c r="M322" s="741">
        <v>1.4374720000000001</v>
      </c>
      <c r="N322" s="916"/>
      <c r="O322" s="741">
        <v>25.489159000000001</v>
      </c>
      <c r="P322" s="916"/>
      <c r="Q322" s="916"/>
    </row>
    <row r="323" spans="1:17" s="3" customFormat="1">
      <c r="A323" s="762">
        <v>7</v>
      </c>
      <c r="B323" s="762"/>
      <c r="C323" s="741">
        <v>0.66061099999999995</v>
      </c>
      <c r="D323" s="916"/>
      <c r="E323" s="741">
        <v>1.0122770000000001</v>
      </c>
      <c r="F323" s="916"/>
      <c r="G323" s="916"/>
      <c r="H323" s="741">
        <v>0.33554800000000001</v>
      </c>
      <c r="I323" s="929"/>
      <c r="J323" s="741">
        <v>5.0887200000000004</v>
      </c>
      <c r="K323" s="942"/>
      <c r="L323" s="929"/>
      <c r="M323" s="741">
        <v>1.4430270000000001</v>
      </c>
      <c r="N323" s="916"/>
      <c r="O323" s="741">
        <v>25.604474</v>
      </c>
      <c r="P323" s="916"/>
      <c r="Q323" s="916"/>
    </row>
    <row r="324" spans="1:17" s="3" customFormat="1">
      <c r="A324" s="762">
        <v>8</v>
      </c>
      <c r="B324" s="762"/>
      <c r="C324" s="741">
        <v>0.65213100000000002</v>
      </c>
      <c r="D324" s="916"/>
      <c r="E324" s="741">
        <v>0.999197</v>
      </c>
      <c r="F324" s="916"/>
      <c r="G324" s="916"/>
      <c r="H324" s="741">
        <v>0.33725500000000003</v>
      </c>
      <c r="I324" s="929"/>
      <c r="J324" s="741">
        <v>5.1155200000000001</v>
      </c>
      <c r="K324" s="942"/>
      <c r="L324" s="929"/>
      <c r="M324" s="741">
        <v>1.4420900000000001</v>
      </c>
      <c r="N324" s="916"/>
      <c r="O324" s="741">
        <v>25.585011999999999</v>
      </c>
      <c r="P324" s="916"/>
      <c r="Q324" s="916"/>
    </row>
    <row r="325" spans="1:17" s="3" customFormat="1">
      <c r="A325" s="762">
        <v>9</v>
      </c>
      <c r="B325" s="762"/>
      <c r="C325" s="741">
        <v>0.660694</v>
      </c>
      <c r="D325" s="916"/>
      <c r="E325" s="741">
        <v>1.012405</v>
      </c>
      <c r="F325" s="916"/>
      <c r="G325" s="916"/>
      <c r="H325" s="741">
        <v>0.33814</v>
      </c>
      <c r="I325" s="929"/>
      <c r="J325" s="741">
        <v>5.1294190000000004</v>
      </c>
      <c r="K325" s="942"/>
      <c r="L325" s="929"/>
      <c r="M325" s="741">
        <v>1.442931</v>
      </c>
      <c r="N325" s="916"/>
      <c r="O325" s="741">
        <v>25.602478999999999</v>
      </c>
      <c r="P325" s="916"/>
      <c r="Q325" s="916"/>
    </row>
    <row r="326" spans="1:17" s="3" customFormat="1">
      <c r="A326" s="762">
        <v>10</v>
      </c>
      <c r="B326" s="762"/>
      <c r="C326" s="741">
        <v>0.65282600000000002</v>
      </c>
      <c r="D326" s="916"/>
      <c r="E326" s="741">
        <v>1.0002690000000001</v>
      </c>
      <c r="F326" s="916"/>
      <c r="G326" s="916"/>
      <c r="H326" s="741">
        <v>0.33419900000000002</v>
      </c>
      <c r="I326" s="929"/>
      <c r="J326" s="741">
        <v>5.0675470000000002</v>
      </c>
      <c r="K326" s="942"/>
      <c r="L326" s="929"/>
      <c r="M326" s="741">
        <v>1.4324129999999999</v>
      </c>
      <c r="N326" s="916"/>
      <c r="O326" s="741">
        <v>25.384271999999999</v>
      </c>
      <c r="P326" s="916"/>
      <c r="Q326" s="916"/>
    </row>
    <row r="327" spans="1:17" s="3" customFormat="1">
      <c r="A327" s="762">
        <v>11</v>
      </c>
      <c r="B327" s="762"/>
      <c r="C327" s="741">
        <v>0.65459999999999996</v>
      </c>
      <c r="D327" s="916"/>
      <c r="E327" s="741">
        <v>1.0030049999999999</v>
      </c>
      <c r="F327" s="916"/>
      <c r="G327" s="916"/>
      <c r="H327" s="741">
        <v>0.33487099999999997</v>
      </c>
      <c r="I327" s="929"/>
      <c r="J327" s="741">
        <v>5.078093</v>
      </c>
      <c r="K327" s="942"/>
      <c r="L327" s="929"/>
      <c r="M327" s="741">
        <v>1.448277</v>
      </c>
      <c r="N327" s="916"/>
      <c r="O327" s="741">
        <v>25.713595999999999</v>
      </c>
      <c r="P327" s="916"/>
      <c r="Q327" s="916"/>
    </row>
    <row r="328" spans="1:17" s="3" customFormat="1">
      <c r="A328" s="762">
        <v>12</v>
      </c>
      <c r="B328" s="762"/>
      <c r="C328" s="741">
        <v>0.64617899999999995</v>
      </c>
      <c r="D328" s="916"/>
      <c r="E328" s="741">
        <v>0.99001700000000004</v>
      </c>
      <c r="F328" s="916"/>
      <c r="G328" s="916"/>
      <c r="H328" s="741">
        <v>0.336364</v>
      </c>
      <c r="I328" s="929"/>
      <c r="J328" s="741">
        <v>5.1015300000000003</v>
      </c>
      <c r="K328" s="942"/>
      <c r="L328" s="929"/>
      <c r="M328" s="741">
        <v>1.44215</v>
      </c>
      <c r="N328" s="916"/>
      <c r="O328" s="741">
        <v>25.586258000000001</v>
      </c>
      <c r="P328" s="916"/>
      <c r="Q328" s="916"/>
    </row>
    <row r="329" spans="1:17" s="3" customFormat="1">
      <c r="A329" s="762">
        <v>13</v>
      </c>
      <c r="B329" s="762"/>
      <c r="C329" s="741">
        <v>0.65781299999999998</v>
      </c>
      <c r="D329" s="916"/>
      <c r="E329" s="741">
        <v>1.0079610000000001</v>
      </c>
      <c r="F329" s="916"/>
      <c r="G329" s="916"/>
      <c r="H329" s="741">
        <v>0.33578799999999998</v>
      </c>
      <c r="I329" s="929"/>
      <c r="J329" s="741">
        <v>5.0924870000000002</v>
      </c>
      <c r="K329" s="942"/>
      <c r="L329" s="929"/>
      <c r="M329" s="741">
        <v>1.4413940000000001</v>
      </c>
      <c r="N329" s="916"/>
      <c r="O329" s="741">
        <v>25.570558999999999</v>
      </c>
      <c r="P329" s="916"/>
      <c r="Q329" s="916"/>
    </row>
    <row r="330" spans="1:17" s="3" customFormat="1">
      <c r="A330" s="762">
        <v>14</v>
      </c>
      <c r="B330" s="762"/>
      <c r="C330" s="741">
        <v>0.65205999999999997</v>
      </c>
      <c r="D330" s="916"/>
      <c r="E330" s="741">
        <v>0.99908699999999995</v>
      </c>
      <c r="F330" s="916"/>
      <c r="G330" s="916"/>
      <c r="H330" s="741">
        <v>0.33524199999999998</v>
      </c>
      <c r="I330" s="929"/>
      <c r="J330" s="741">
        <v>5.0839160000000003</v>
      </c>
      <c r="K330" s="942"/>
      <c r="L330" s="929"/>
      <c r="M330" s="741">
        <v>1.43936</v>
      </c>
      <c r="N330" s="916"/>
      <c r="O330" s="741">
        <v>25.528334000000001</v>
      </c>
      <c r="P330" s="916"/>
      <c r="Q330" s="916"/>
    </row>
    <row r="331" spans="1:17" s="3" customFormat="1">
      <c r="A331" s="762">
        <v>15</v>
      </c>
      <c r="B331" s="762"/>
      <c r="C331" s="741">
        <v>0.64885700000000002</v>
      </c>
      <c r="D331" s="916"/>
      <c r="E331" s="741">
        <v>0.994147</v>
      </c>
      <c r="F331" s="916"/>
      <c r="G331" s="916"/>
      <c r="H331" s="741">
        <v>0.33850999999999998</v>
      </c>
      <c r="I331" s="929"/>
      <c r="J331" s="741">
        <v>5.13523</v>
      </c>
      <c r="K331" s="942"/>
      <c r="L331" s="929"/>
      <c r="M331" s="741">
        <v>1.439632</v>
      </c>
      <c r="N331" s="916"/>
      <c r="O331" s="741">
        <v>25.53398</v>
      </c>
      <c r="P331" s="916"/>
      <c r="Q331" s="916"/>
    </row>
    <row r="332" spans="1:17" s="3" customFormat="1">
      <c r="A332" s="762">
        <v>16</v>
      </c>
      <c r="B332" s="762"/>
      <c r="C332" s="741">
        <v>0.64615800000000001</v>
      </c>
      <c r="D332" s="916"/>
      <c r="E332" s="741">
        <v>0.98998399999999998</v>
      </c>
      <c r="F332" s="916"/>
      <c r="G332" s="916"/>
      <c r="H332" s="741">
        <v>0.33599800000000002</v>
      </c>
      <c r="I332" s="929"/>
      <c r="J332" s="741">
        <v>5.0957840000000001</v>
      </c>
      <c r="K332" s="942"/>
      <c r="L332" s="929"/>
      <c r="M332" s="741">
        <v>1.439541</v>
      </c>
      <c r="N332" s="916"/>
      <c r="O332" s="741">
        <v>25.532091000000001</v>
      </c>
      <c r="P332" s="916"/>
      <c r="Q332" s="916"/>
    </row>
    <row r="333" spans="1:17" s="3" customFormat="1">
      <c r="A333" s="762">
        <v>17</v>
      </c>
      <c r="B333" s="762"/>
      <c r="C333" s="741">
        <v>0.66025199999999995</v>
      </c>
      <c r="D333" s="916"/>
      <c r="E333" s="741">
        <v>1.0117229999999999</v>
      </c>
      <c r="F333" s="916"/>
      <c r="G333" s="916"/>
      <c r="H333" s="741">
        <v>0.33669700000000002</v>
      </c>
      <c r="I333" s="929"/>
      <c r="J333" s="741">
        <v>5.1067580000000001</v>
      </c>
      <c r="K333" s="942"/>
      <c r="L333" s="929"/>
      <c r="M333" s="741">
        <v>1.4482060000000001</v>
      </c>
      <c r="N333" s="916"/>
      <c r="O333" s="741">
        <v>25.712119000000001</v>
      </c>
      <c r="P333" s="916"/>
      <c r="Q333" s="916"/>
    </row>
    <row r="334" spans="1:17" s="3" customFormat="1">
      <c r="A334" s="762">
        <v>18</v>
      </c>
      <c r="B334" s="762"/>
      <c r="C334" s="741">
        <v>0.64220299999999997</v>
      </c>
      <c r="D334" s="916"/>
      <c r="E334" s="741">
        <v>0.98388500000000001</v>
      </c>
      <c r="F334" s="916"/>
      <c r="G334" s="916"/>
      <c r="H334" s="741">
        <v>0.33687299999999998</v>
      </c>
      <c r="I334" s="929"/>
      <c r="J334" s="741">
        <v>5.1095220000000001</v>
      </c>
      <c r="K334" s="942"/>
      <c r="L334" s="929"/>
      <c r="M334" s="741">
        <v>1.4365110000000001</v>
      </c>
      <c r="N334" s="916"/>
      <c r="O334" s="741">
        <v>25.469225000000002</v>
      </c>
      <c r="P334" s="916"/>
      <c r="Q334" s="916"/>
    </row>
    <row r="335" spans="1:17" s="3" customFormat="1">
      <c r="A335" s="762">
        <v>19</v>
      </c>
      <c r="B335" s="762"/>
      <c r="C335" s="741">
        <v>0.65322199999999997</v>
      </c>
      <c r="D335" s="916"/>
      <c r="E335" s="741">
        <v>1.0008790000000001</v>
      </c>
      <c r="F335" s="916"/>
      <c r="G335" s="916"/>
      <c r="H335" s="741">
        <v>0.33671899999999999</v>
      </c>
      <c r="I335" s="929"/>
      <c r="J335" s="741">
        <v>5.1071039999999996</v>
      </c>
      <c r="K335" s="942"/>
      <c r="L335" s="929"/>
      <c r="M335" s="741">
        <v>1.448723</v>
      </c>
      <c r="N335" s="916"/>
      <c r="O335" s="741">
        <v>25.722873</v>
      </c>
      <c r="P335" s="916"/>
      <c r="Q335" s="916"/>
    </row>
    <row r="336" spans="1:17" s="3" customFormat="1">
      <c r="A336" s="762">
        <v>20</v>
      </c>
      <c r="B336" s="762"/>
      <c r="C336" s="741">
        <v>0.65715699999999999</v>
      </c>
      <c r="D336" s="916"/>
      <c r="E336" s="741">
        <v>1.0069490000000001</v>
      </c>
      <c r="F336" s="916"/>
      <c r="G336" s="916"/>
      <c r="H336" s="741">
        <v>0.33486900000000003</v>
      </c>
      <c r="I336" s="929"/>
      <c r="J336" s="741">
        <v>5.0780620000000001</v>
      </c>
      <c r="K336" s="942"/>
      <c r="L336" s="929"/>
      <c r="M336" s="741">
        <v>1.442205</v>
      </c>
      <c r="N336" s="916"/>
      <c r="O336" s="741">
        <v>25.587399999999999</v>
      </c>
      <c r="P336" s="916"/>
      <c r="Q336" s="916"/>
    </row>
    <row r="337" spans="1:17" s="3" customFormat="1">
      <c r="A337" s="762" t="s">
        <v>5</v>
      </c>
      <c r="B337" s="762" t="s">
        <v>96</v>
      </c>
      <c r="C337" s="931" t="s">
        <v>205</v>
      </c>
      <c r="D337" s="931"/>
      <c r="E337" s="919">
        <f>STDEV(E317:G336)/AVERAGE(E317:G336)</f>
        <v>8.9111012130276192E-3</v>
      </c>
      <c r="F337" s="920"/>
      <c r="G337" s="921"/>
      <c r="H337" s="931" t="s">
        <v>205</v>
      </c>
      <c r="I337" s="931"/>
      <c r="J337" s="919">
        <f>STDEV(J317:L336)/AVERAGE(J317:L336)</f>
        <v>3.9601874432921126E-3</v>
      </c>
      <c r="K337" s="920"/>
      <c r="L337" s="921"/>
      <c r="M337" s="932" t="s">
        <v>96</v>
      </c>
      <c r="N337" s="932"/>
      <c r="O337" s="919">
        <f>STDEV(O317:Q336)/AVERAGE(O317:Q336)</f>
        <v>3.7658272860174495E-3</v>
      </c>
      <c r="P337" s="920"/>
      <c r="Q337" s="921"/>
    </row>
    <row r="338" spans="1:17" s="3" customFormat="1">
      <c r="A338" s="762" t="s">
        <v>102</v>
      </c>
      <c r="B338" s="762" t="s">
        <v>96</v>
      </c>
      <c r="C338" s="930" t="s">
        <v>205</v>
      </c>
      <c r="D338" s="930"/>
      <c r="E338" s="933" t="s">
        <v>181</v>
      </c>
      <c r="F338" s="933"/>
      <c r="G338" s="933"/>
      <c r="H338" s="930" t="s">
        <v>205</v>
      </c>
      <c r="I338" s="930"/>
      <c r="J338" s="933" t="s">
        <v>181</v>
      </c>
      <c r="K338" s="933"/>
      <c r="L338" s="933"/>
      <c r="M338" s="932" t="s">
        <v>96</v>
      </c>
      <c r="N338" s="932"/>
      <c r="O338" s="933" t="s">
        <v>181</v>
      </c>
      <c r="P338" s="933"/>
      <c r="Q338" s="933"/>
    </row>
    <row r="339" spans="1:17" s="3" customFormat="1">
      <c r="A339" s="762" t="s">
        <v>103</v>
      </c>
      <c r="B339" s="762" t="s">
        <v>96</v>
      </c>
      <c r="C339" s="922" t="s">
        <v>96</v>
      </c>
      <c r="D339" s="922"/>
      <c r="E339" s="922">
        <f>AVERAGE(E317:G336)</f>
        <v>1.0025655499999999</v>
      </c>
      <c r="F339" s="922"/>
      <c r="G339" s="922"/>
      <c r="H339" s="922" t="s">
        <v>96</v>
      </c>
      <c r="I339" s="922"/>
      <c r="J339" s="922">
        <f>AVERAGE(J317:L336)</f>
        <v>5.0979568499999992</v>
      </c>
      <c r="K339" s="922"/>
      <c r="L339" s="922"/>
      <c r="M339" s="932" t="s">
        <v>96</v>
      </c>
      <c r="N339" s="932"/>
      <c r="O339" s="922">
        <f>AVERAGE(O317:Q336)</f>
        <v>25.558351549999998</v>
      </c>
      <c r="P339" s="922"/>
      <c r="Q339" s="922"/>
    </row>
    <row r="340" spans="1:17" s="3" customFormat="1" ht="29.25" customHeight="1">
      <c r="A340" s="932" t="s">
        <v>254</v>
      </c>
      <c r="B340" s="932" t="s">
        <v>96</v>
      </c>
      <c r="C340" s="922" t="s">
        <v>96</v>
      </c>
      <c r="D340" s="922"/>
      <c r="E340" s="933" t="s">
        <v>351</v>
      </c>
      <c r="F340" s="933"/>
      <c r="G340" s="933"/>
      <c r="H340" s="922" t="s">
        <v>96</v>
      </c>
      <c r="I340" s="922"/>
      <c r="J340" s="933" t="s">
        <v>351</v>
      </c>
      <c r="K340" s="933"/>
      <c r="L340" s="933"/>
      <c r="M340" s="932" t="s">
        <v>96</v>
      </c>
      <c r="N340" s="932"/>
      <c r="O340" s="933" t="s">
        <v>351</v>
      </c>
      <c r="P340" s="933"/>
      <c r="Q340" s="933"/>
    </row>
    <row r="341" spans="1:17" s="3" customFormat="1">
      <c r="A341" s="937" t="s">
        <v>6</v>
      </c>
      <c r="B341" s="937"/>
      <c r="C341" s="934" t="str">
        <f>IF(AND(E337&lt;=2%,ABS(E339-1)/1&lt;=0.05),"Pass","Fail")</f>
        <v>Pass</v>
      </c>
      <c r="D341" s="935"/>
      <c r="E341" s="935"/>
      <c r="F341" s="935"/>
      <c r="G341" s="936"/>
      <c r="H341" s="934" t="str">
        <f>IF(AND(J337&lt;=2%,ABS(J339-5)/5&lt;=0.05),"Pass","Fail")</f>
        <v>Pass</v>
      </c>
      <c r="I341" s="935"/>
      <c r="J341" s="935"/>
      <c r="K341" s="935"/>
      <c r="L341" s="936"/>
      <c r="M341" s="934" t="str">
        <f>IF(AND(O337&lt;=2%,ABS(O339-25)/25&lt;=0.05),"Pass","Fail")</f>
        <v>Pass</v>
      </c>
      <c r="N341" s="935"/>
      <c r="O341" s="935"/>
      <c r="P341" s="935"/>
      <c r="Q341" s="936"/>
    </row>
    <row r="342" spans="1:17" s="3" customFormat="1" ht="14.25" customHeight="1">
      <c r="A342" s="938" t="s">
        <v>106</v>
      </c>
      <c r="B342" s="938"/>
      <c r="C342" s="938"/>
      <c r="D342" s="938"/>
      <c r="E342" s="938"/>
      <c r="F342" s="938"/>
      <c r="G342" s="938"/>
      <c r="H342" s="938"/>
      <c r="I342" s="938"/>
      <c r="J342" s="938"/>
      <c r="K342" s="938"/>
      <c r="L342" s="938"/>
      <c r="M342" s="938"/>
      <c r="N342" s="938"/>
      <c r="O342" s="938"/>
      <c r="P342" s="938"/>
      <c r="Q342" s="938"/>
    </row>
    <row r="343" spans="1:17" s="3" customFormat="1" ht="14.25" customHeight="1">
      <c r="A343" s="928" t="s">
        <v>73</v>
      </c>
      <c r="B343" s="928"/>
      <c r="C343" s="928" t="s">
        <v>324</v>
      </c>
      <c r="D343" s="928"/>
      <c r="E343" s="928"/>
      <c r="F343" s="928"/>
      <c r="G343" s="928"/>
      <c r="H343" s="928" t="s">
        <v>325</v>
      </c>
      <c r="I343" s="928"/>
      <c r="J343" s="928"/>
      <c r="K343" s="928"/>
      <c r="L343" s="928"/>
      <c r="M343" s="928" t="s">
        <v>326</v>
      </c>
      <c r="N343" s="928"/>
      <c r="O343" s="928"/>
      <c r="P343" s="928"/>
      <c r="Q343" s="928"/>
    </row>
    <row r="344" spans="1:17" s="3" customFormat="1">
      <c r="A344" s="928"/>
      <c r="B344" s="928"/>
      <c r="C344" s="795" t="s">
        <v>105</v>
      </c>
      <c r="D344" s="795"/>
      <c r="E344" s="795" t="s">
        <v>204</v>
      </c>
      <c r="F344" s="795"/>
      <c r="G344" s="795"/>
      <c r="H344" s="939" t="s">
        <v>98</v>
      </c>
      <c r="I344" s="940"/>
      <c r="J344" s="939" t="s">
        <v>54</v>
      </c>
      <c r="K344" s="941"/>
      <c r="L344" s="940"/>
      <c r="M344" s="795" t="s">
        <v>98</v>
      </c>
      <c r="N344" s="795"/>
      <c r="O344" s="795" t="s">
        <v>54</v>
      </c>
      <c r="P344" s="795"/>
      <c r="Q344" s="795"/>
    </row>
    <row r="345" spans="1:17" s="3" customFormat="1">
      <c r="A345" s="762">
        <v>1</v>
      </c>
      <c r="B345" s="762"/>
      <c r="C345" s="741">
        <v>0.64715400000000001</v>
      </c>
      <c r="D345" s="916"/>
      <c r="E345" s="741">
        <v>0.99336400000000002</v>
      </c>
      <c r="F345" s="916"/>
      <c r="G345" s="916"/>
      <c r="H345" s="741">
        <v>0.33214300000000002</v>
      </c>
      <c r="I345" s="929"/>
      <c r="J345" s="741">
        <v>5.0383250000000004</v>
      </c>
      <c r="K345" s="942"/>
      <c r="L345" s="929"/>
      <c r="M345" s="741">
        <v>1.4272180000000001</v>
      </c>
      <c r="N345" s="916"/>
      <c r="O345" s="741">
        <v>25.293911000000001</v>
      </c>
      <c r="P345" s="916"/>
      <c r="Q345" s="916"/>
    </row>
    <row r="346" spans="1:17" s="3" customFormat="1">
      <c r="A346" s="762">
        <v>2</v>
      </c>
      <c r="B346" s="762"/>
      <c r="C346" s="741">
        <v>0.65406200000000003</v>
      </c>
      <c r="D346" s="916"/>
      <c r="E346" s="741">
        <v>1.0040389999999999</v>
      </c>
      <c r="F346" s="916"/>
      <c r="G346" s="916"/>
      <c r="H346" s="741">
        <v>0.33064199999999999</v>
      </c>
      <c r="I346" s="929"/>
      <c r="J346" s="741">
        <v>5.0147680000000001</v>
      </c>
      <c r="K346" s="942"/>
      <c r="L346" s="929"/>
      <c r="M346" s="741">
        <v>1.435683</v>
      </c>
      <c r="N346" s="916"/>
      <c r="O346" s="741">
        <v>25.469404999999998</v>
      </c>
      <c r="P346" s="916"/>
      <c r="Q346" s="916"/>
    </row>
    <row r="347" spans="1:17" s="3" customFormat="1">
      <c r="A347" s="762">
        <v>3</v>
      </c>
      <c r="B347" s="762"/>
      <c r="C347" s="741">
        <v>0.65569999999999995</v>
      </c>
      <c r="D347" s="916"/>
      <c r="E347" s="741">
        <v>1.00657</v>
      </c>
      <c r="F347" s="916"/>
      <c r="G347" s="916"/>
      <c r="H347" s="741">
        <v>0.33474100000000001</v>
      </c>
      <c r="I347" s="929"/>
      <c r="J347" s="741">
        <v>5.0791149999999998</v>
      </c>
      <c r="K347" s="942"/>
      <c r="L347" s="929"/>
      <c r="M347" s="741">
        <v>1.432196</v>
      </c>
      <c r="N347" s="916"/>
      <c r="O347" s="741">
        <v>25.397071</v>
      </c>
      <c r="P347" s="916"/>
      <c r="Q347" s="916"/>
    </row>
    <row r="348" spans="1:17" s="3" customFormat="1">
      <c r="A348" s="762">
        <v>4</v>
      </c>
      <c r="B348" s="762"/>
      <c r="C348" s="741">
        <v>0.64771400000000001</v>
      </c>
      <c r="D348" s="916"/>
      <c r="E348" s="741">
        <v>0.99422900000000003</v>
      </c>
      <c r="F348" s="916"/>
      <c r="G348" s="916"/>
      <c r="H348" s="741">
        <v>0.33194299999999999</v>
      </c>
      <c r="I348" s="929"/>
      <c r="J348" s="741">
        <v>5.0351850000000002</v>
      </c>
      <c r="K348" s="942"/>
      <c r="L348" s="929"/>
      <c r="M348" s="741">
        <v>1.435022</v>
      </c>
      <c r="N348" s="916"/>
      <c r="O348" s="741">
        <v>25.455689</v>
      </c>
      <c r="P348" s="916"/>
      <c r="Q348" s="916"/>
    </row>
    <row r="349" spans="1:17" s="3" customFormat="1">
      <c r="A349" s="762">
        <v>5</v>
      </c>
      <c r="B349" s="762"/>
      <c r="C349" s="741">
        <v>0.65265899999999999</v>
      </c>
      <c r="D349" s="916"/>
      <c r="E349" s="741">
        <v>1.001871</v>
      </c>
      <c r="F349" s="916"/>
      <c r="G349" s="916"/>
      <c r="H349" s="741">
        <v>0.33030399999999999</v>
      </c>
      <c r="I349" s="929"/>
      <c r="J349" s="741">
        <v>5.0094649999999996</v>
      </c>
      <c r="K349" s="942"/>
      <c r="L349" s="929"/>
      <c r="M349" s="741">
        <v>1.4449179999999999</v>
      </c>
      <c r="N349" s="916"/>
      <c r="O349" s="741">
        <v>25.661263999999999</v>
      </c>
      <c r="P349" s="916"/>
      <c r="Q349" s="916"/>
    </row>
    <row r="350" spans="1:17" s="3" customFormat="1">
      <c r="A350" s="762">
        <v>6</v>
      </c>
      <c r="B350" s="762"/>
      <c r="C350" s="741">
        <v>0.65007899999999996</v>
      </c>
      <c r="D350" s="916"/>
      <c r="E350" s="741">
        <v>0.99788399999999999</v>
      </c>
      <c r="F350" s="916"/>
      <c r="G350" s="916"/>
      <c r="H350" s="741">
        <v>0.33344800000000002</v>
      </c>
      <c r="I350" s="929"/>
      <c r="J350" s="741">
        <v>5.0588110000000004</v>
      </c>
      <c r="K350" s="942"/>
      <c r="L350" s="929"/>
      <c r="M350" s="741">
        <v>1.435289</v>
      </c>
      <c r="N350" s="916"/>
      <c r="O350" s="741">
        <v>25.461228999999999</v>
      </c>
      <c r="P350" s="916"/>
      <c r="Q350" s="916"/>
    </row>
    <row r="351" spans="1:17" s="3" customFormat="1">
      <c r="A351" s="762">
        <v>7</v>
      </c>
      <c r="B351" s="762"/>
      <c r="C351" s="741">
        <v>0.64535900000000002</v>
      </c>
      <c r="D351" s="916"/>
      <c r="E351" s="741">
        <v>0.990591</v>
      </c>
      <c r="F351" s="916"/>
      <c r="G351" s="916"/>
      <c r="H351" s="741">
        <v>0.330428</v>
      </c>
      <c r="I351" s="929"/>
      <c r="J351" s="741">
        <v>5.0114099999999997</v>
      </c>
      <c r="K351" s="942"/>
      <c r="L351" s="929"/>
      <c r="M351" s="741">
        <v>1.4332510000000001</v>
      </c>
      <c r="N351" s="916"/>
      <c r="O351" s="741">
        <v>25.418949000000001</v>
      </c>
      <c r="P351" s="916"/>
      <c r="Q351" s="916"/>
    </row>
    <row r="352" spans="1:17" s="3" customFormat="1">
      <c r="A352" s="762">
        <v>8</v>
      </c>
      <c r="B352" s="762"/>
      <c r="C352" s="741">
        <v>0.64770099999999997</v>
      </c>
      <c r="D352" s="916"/>
      <c r="E352" s="741">
        <v>0.99420900000000001</v>
      </c>
      <c r="F352" s="916"/>
      <c r="G352" s="916"/>
      <c r="H352" s="741">
        <v>0.329733</v>
      </c>
      <c r="I352" s="929"/>
      <c r="J352" s="741">
        <v>5.0005059999999997</v>
      </c>
      <c r="K352" s="942"/>
      <c r="L352" s="929"/>
      <c r="M352" s="741">
        <v>1.439821</v>
      </c>
      <c r="N352" s="916"/>
      <c r="O352" s="741">
        <v>25.555320999999999</v>
      </c>
      <c r="P352" s="916"/>
      <c r="Q352" s="916"/>
    </row>
    <row r="353" spans="1:17" s="3" customFormat="1">
      <c r="A353" s="762">
        <v>9</v>
      </c>
      <c r="B353" s="762"/>
      <c r="C353" s="741">
        <v>0.66397499999999998</v>
      </c>
      <c r="D353" s="916"/>
      <c r="E353" s="741">
        <v>1.0193589999999999</v>
      </c>
      <c r="F353" s="916"/>
      <c r="G353" s="916"/>
      <c r="H353" s="741">
        <v>0.33590700000000001</v>
      </c>
      <c r="I353" s="929"/>
      <c r="J353" s="741">
        <v>5.097429</v>
      </c>
      <c r="K353" s="942"/>
      <c r="L353" s="929"/>
      <c r="M353" s="741">
        <v>1.4358379999999999</v>
      </c>
      <c r="N353" s="916"/>
      <c r="O353" s="741">
        <v>25.472622000000001</v>
      </c>
      <c r="P353" s="916"/>
      <c r="Q353" s="916"/>
    </row>
    <row r="354" spans="1:17" s="3" customFormat="1">
      <c r="A354" s="762">
        <v>10</v>
      </c>
      <c r="B354" s="762"/>
      <c r="C354" s="741">
        <v>0.65124199999999999</v>
      </c>
      <c r="D354" s="916"/>
      <c r="E354" s="741">
        <v>0.99968100000000004</v>
      </c>
      <c r="F354" s="916"/>
      <c r="G354" s="916"/>
      <c r="H354" s="741">
        <v>0.328955</v>
      </c>
      <c r="I354" s="929"/>
      <c r="J354" s="741">
        <v>4.988302</v>
      </c>
      <c r="K354" s="942"/>
      <c r="L354" s="929"/>
      <c r="M354" s="741">
        <v>1.434458</v>
      </c>
      <c r="N354" s="916"/>
      <c r="O354" s="741">
        <v>25.443987</v>
      </c>
      <c r="P354" s="916"/>
      <c r="Q354" s="916"/>
    </row>
    <row r="355" spans="1:17" s="3" customFormat="1">
      <c r="A355" s="762">
        <v>11</v>
      </c>
      <c r="B355" s="762"/>
      <c r="C355" s="741">
        <v>0.66252100000000003</v>
      </c>
      <c r="D355" s="916"/>
      <c r="E355" s="741">
        <v>1.017112</v>
      </c>
      <c r="F355" s="916"/>
      <c r="G355" s="916"/>
      <c r="H355" s="741">
        <v>0.330397</v>
      </c>
      <c r="I355" s="929"/>
      <c r="J355" s="741">
        <v>5.0109240000000002</v>
      </c>
      <c r="K355" s="942"/>
      <c r="L355" s="929"/>
      <c r="M355" s="741">
        <v>1.4391350000000001</v>
      </c>
      <c r="N355" s="916"/>
      <c r="O355" s="741">
        <v>25.541072</v>
      </c>
      <c r="P355" s="916"/>
      <c r="Q355" s="916"/>
    </row>
    <row r="356" spans="1:17" s="3" customFormat="1">
      <c r="A356" s="762">
        <v>12</v>
      </c>
      <c r="B356" s="762"/>
      <c r="C356" s="741">
        <v>0.65426200000000001</v>
      </c>
      <c r="D356" s="916"/>
      <c r="E356" s="741">
        <v>1.004348</v>
      </c>
      <c r="F356" s="916"/>
      <c r="G356" s="916"/>
      <c r="H356" s="741">
        <v>0.33184000000000002</v>
      </c>
      <c r="I356" s="929"/>
      <c r="J356" s="741">
        <v>5.033569</v>
      </c>
      <c r="K356" s="942"/>
      <c r="L356" s="929"/>
      <c r="M356" s="741">
        <v>1.4315549999999999</v>
      </c>
      <c r="N356" s="916"/>
      <c r="O356" s="741">
        <v>25.383780999999999</v>
      </c>
      <c r="P356" s="916"/>
      <c r="Q356" s="916"/>
    </row>
    <row r="357" spans="1:17" s="3" customFormat="1">
      <c r="A357" s="762">
        <v>13</v>
      </c>
      <c r="B357" s="762"/>
      <c r="C357" s="741">
        <v>0.64373000000000002</v>
      </c>
      <c r="D357" s="916"/>
      <c r="E357" s="741">
        <v>0.98807400000000001</v>
      </c>
      <c r="F357" s="916"/>
      <c r="G357" s="916"/>
      <c r="H357" s="741">
        <v>0.33123399999999997</v>
      </c>
      <c r="I357" s="929"/>
      <c r="J357" s="741">
        <v>5.0240580000000001</v>
      </c>
      <c r="K357" s="942"/>
      <c r="L357" s="929"/>
      <c r="M357" s="741">
        <v>1.436625</v>
      </c>
      <c r="N357" s="916"/>
      <c r="O357" s="741">
        <v>25.488956000000002</v>
      </c>
      <c r="P357" s="916"/>
      <c r="Q357" s="916"/>
    </row>
    <row r="358" spans="1:17" s="3" customFormat="1">
      <c r="A358" s="762">
        <v>14</v>
      </c>
      <c r="B358" s="762"/>
      <c r="C358" s="741">
        <v>0.64252399999999998</v>
      </c>
      <c r="D358" s="916"/>
      <c r="E358" s="741">
        <v>0.98621000000000003</v>
      </c>
      <c r="F358" s="916"/>
      <c r="G358" s="916"/>
      <c r="H358" s="741">
        <v>0.329677</v>
      </c>
      <c r="I358" s="929"/>
      <c r="J358" s="741">
        <v>4.9996280000000004</v>
      </c>
      <c r="K358" s="942"/>
      <c r="L358" s="929"/>
      <c r="M358" s="741">
        <v>1.4299649999999999</v>
      </c>
      <c r="N358" s="916"/>
      <c r="O358" s="741">
        <v>25.350822000000001</v>
      </c>
      <c r="P358" s="916"/>
      <c r="Q358" s="916"/>
    </row>
    <row r="359" spans="1:17" s="3" customFormat="1">
      <c r="A359" s="762">
        <v>15</v>
      </c>
      <c r="B359" s="762"/>
      <c r="C359" s="741">
        <v>0.63603799999999999</v>
      </c>
      <c r="D359" s="916"/>
      <c r="E359" s="741">
        <v>0.97619</v>
      </c>
      <c r="F359" s="916"/>
      <c r="G359" s="916"/>
      <c r="H359" s="741">
        <v>0.335729</v>
      </c>
      <c r="I359" s="929"/>
      <c r="J359" s="741">
        <v>5.0946319999999998</v>
      </c>
      <c r="K359" s="942"/>
      <c r="L359" s="929"/>
      <c r="M359" s="741">
        <v>1.428774</v>
      </c>
      <c r="N359" s="916"/>
      <c r="O359" s="741">
        <v>25.326142999999998</v>
      </c>
      <c r="P359" s="916"/>
      <c r="Q359" s="916"/>
    </row>
    <row r="360" spans="1:17" s="3" customFormat="1">
      <c r="A360" s="762">
        <v>16</v>
      </c>
      <c r="B360" s="762"/>
      <c r="C360" s="741">
        <v>0.66484100000000002</v>
      </c>
      <c r="D360" s="916"/>
      <c r="E360" s="741">
        <v>1.0206980000000001</v>
      </c>
      <c r="F360" s="916"/>
      <c r="G360" s="916"/>
      <c r="H360" s="741">
        <v>0.33185300000000001</v>
      </c>
      <c r="I360" s="929"/>
      <c r="J360" s="741">
        <v>5.0337730000000001</v>
      </c>
      <c r="K360" s="942"/>
      <c r="L360" s="929"/>
      <c r="M360" s="741">
        <v>1.4296489999999999</v>
      </c>
      <c r="N360" s="916"/>
      <c r="O360" s="741">
        <v>25.344273999999999</v>
      </c>
      <c r="P360" s="916"/>
      <c r="Q360" s="916"/>
    </row>
    <row r="361" spans="1:17" s="3" customFormat="1">
      <c r="A361" s="762">
        <v>17</v>
      </c>
      <c r="B361" s="762"/>
      <c r="C361" s="741">
        <v>0.639903</v>
      </c>
      <c r="D361" s="916"/>
      <c r="E361" s="741">
        <v>0.98216099999999995</v>
      </c>
      <c r="F361" s="916"/>
      <c r="G361" s="916"/>
      <c r="H361" s="741">
        <v>0.32990900000000001</v>
      </c>
      <c r="I361" s="929"/>
      <c r="J361" s="741">
        <v>5.0032670000000001</v>
      </c>
      <c r="K361" s="942"/>
      <c r="L361" s="929"/>
      <c r="M361" s="741">
        <v>1.44445</v>
      </c>
      <c r="N361" s="916"/>
      <c r="O361" s="741">
        <v>25.651530999999999</v>
      </c>
      <c r="P361" s="916"/>
      <c r="Q361" s="916"/>
    </row>
    <row r="362" spans="1:17" s="3" customFormat="1">
      <c r="A362" s="762">
        <v>18</v>
      </c>
      <c r="B362" s="762"/>
      <c r="C362" s="741">
        <v>0.65180000000000005</v>
      </c>
      <c r="D362" s="916"/>
      <c r="E362" s="741">
        <v>1.000543</v>
      </c>
      <c r="F362" s="916"/>
      <c r="G362" s="916"/>
      <c r="H362" s="741">
        <v>0.33155899999999999</v>
      </c>
      <c r="I362" s="929"/>
      <c r="J362" s="741">
        <v>5.0291589999999999</v>
      </c>
      <c r="K362" s="942"/>
      <c r="L362" s="929"/>
      <c r="M362" s="741">
        <v>1.4334260000000001</v>
      </c>
      <c r="N362" s="916"/>
      <c r="O362" s="741">
        <v>25.422578999999999</v>
      </c>
      <c r="P362" s="916"/>
      <c r="Q362" s="916"/>
    </row>
    <row r="363" spans="1:17" s="3" customFormat="1">
      <c r="A363" s="762">
        <v>19</v>
      </c>
      <c r="B363" s="762"/>
      <c r="C363" s="741">
        <v>0.64900999999999998</v>
      </c>
      <c r="D363" s="916"/>
      <c r="E363" s="741">
        <v>0.99623200000000001</v>
      </c>
      <c r="F363" s="916"/>
      <c r="G363" s="916"/>
      <c r="H363" s="741">
        <v>0.33093099999999998</v>
      </c>
      <c r="I363" s="929"/>
      <c r="J363" s="741">
        <v>5.0193029999999998</v>
      </c>
      <c r="K363" s="942"/>
      <c r="L363" s="929"/>
      <c r="M363" s="741">
        <v>1.4297839999999999</v>
      </c>
      <c r="N363" s="916"/>
      <c r="O363" s="741">
        <v>25.347071</v>
      </c>
      <c r="P363" s="916"/>
      <c r="Q363" s="916"/>
    </row>
    <row r="364" spans="1:17" s="3" customFormat="1">
      <c r="A364" s="762">
        <v>20</v>
      </c>
      <c r="B364" s="762"/>
      <c r="C364" s="741">
        <v>0.64353400000000005</v>
      </c>
      <c r="D364" s="916"/>
      <c r="E364" s="741">
        <v>0.98777099999999995</v>
      </c>
      <c r="F364" s="916"/>
      <c r="G364" s="916"/>
      <c r="H364" s="741">
        <v>0.33144800000000002</v>
      </c>
      <c r="I364" s="929"/>
      <c r="J364" s="741">
        <v>5.0274169999999998</v>
      </c>
      <c r="K364" s="942"/>
      <c r="L364" s="929"/>
      <c r="M364" s="741">
        <v>1.4341330000000001</v>
      </c>
      <c r="N364" s="916"/>
      <c r="O364" s="741">
        <v>25.437245000000001</v>
      </c>
      <c r="P364" s="916"/>
      <c r="Q364" s="916"/>
    </row>
    <row r="365" spans="1:17" s="3" customFormat="1">
      <c r="A365" s="762" t="s">
        <v>5</v>
      </c>
      <c r="B365" s="762" t="s">
        <v>96</v>
      </c>
      <c r="C365" s="931" t="s">
        <v>205</v>
      </c>
      <c r="D365" s="931"/>
      <c r="E365" s="919">
        <f>STDEV(E345:G364)/AVERAGE(E345:G364)</f>
        <v>1.1917269620843262E-2</v>
      </c>
      <c r="F365" s="920"/>
      <c r="G365" s="921"/>
      <c r="H365" s="931" t="s">
        <v>205</v>
      </c>
      <c r="I365" s="931"/>
      <c r="J365" s="919">
        <f>STDEV(J345:L364)/AVERAGE(J345:L364)</f>
        <v>6.0932996907410103E-3</v>
      </c>
      <c r="K365" s="920"/>
      <c r="L365" s="921"/>
      <c r="M365" s="932" t="s">
        <v>96</v>
      </c>
      <c r="N365" s="932"/>
      <c r="O365" s="919">
        <f>STDEV(O345:Q364)/AVERAGE(O345:Q364)</f>
        <v>3.9020065371112101E-3</v>
      </c>
      <c r="P365" s="920"/>
      <c r="Q365" s="921"/>
    </row>
    <row r="366" spans="1:17" s="3" customFormat="1">
      <c r="A366" s="762" t="s">
        <v>102</v>
      </c>
      <c r="B366" s="762" t="s">
        <v>96</v>
      </c>
      <c r="C366" s="930" t="s">
        <v>205</v>
      </c>
      <c r="D366" s="930"/>
      <c r="E366" s="933" t="s">
        <v>181</v>
      </c>
      <c r="F366" s="933"/>
      <c r="G366" s="933"/>
      <c r="H366" s="930" t="s">
        <v>205</v>
      </c>
      <c r="I366" s="930"/>
      <c r="J366" s="933" t="s">
        <v>181</v>
      </c>
      <c r="K366" s="933"/>
      <c r="L366" s="933"/>
      <c r="M366" s="932" t="s">
        <v>96</v>
      </c>
      <c r="N366" s="932"/>
      <c r="O366" s="933" t="s">
        <v>181</v>
      </c>
      <c r="P366" s="933"/>
      <c r="Q366" s="933"/>
    </row>
    <row r="367" spans="1:17" s="3" customFormat="1" ht="14.25" customHeight="1">
      <c r="A367" s="762" t="s">
        <v>103</v>
      </c>
      <c r="B367" s="762" t="s">
        <v>96</v>
      </c>
      <c r="C367" s="922" t="s">
        <v>96</v>
      </c>
      <c r="D367" s="922"/>
      <c r="E367" s="922">
        <f>AVERAGE(E345:G364)</f>
        <v>0.99805679999999997</v>
      </c>
      <c r="F367" s="922"/>
      <c r="G367" s="922"/>
      <c r="H367" s="922" t="s">
        <v>96</v>
      </c>
      <c r="I367" s="922"/>
      <c r="J367" s="922">
        <f>AVERAGE(J345:L364)</f>
        <v>5.0304522999999985</v>
      </c>
      <c r="K367" s="922"/>
      <c r="L367" s="922"/>
      <c r="M367" s="932" t="s">
        <v>96</v>
      </c>
      <c r="N367" s="932"/>
      <c r="O367" s="922">
        <f>AVERAGE(O345:Q364)</f>
        <v>25.446146099999996</v>
      </c>
      <c r="P367" s="922"/>
      <c r="Q367" s="922"/>
    </row>
    <row r="368" spans="1:17" s="3" customFormat="1" ht="14.25" customHeight="1">
      <c r="A368" s="943" t="s">
        <v>254</v>
      </c>
      <c r="B368" s="943" t="s">
        <v>96</v>
      </c>
      <c r="C368" s="922" t="s">
        <v>96</v>
      </c>
      <c r="D368" s="922"/>
      <c r="E368" s="933" t="s">
        <v>351</v>
      </c>
      <c r="F368" s="933"/>
      <c r="G368" s="933"/>
      <c r="H368" s="922" t="s">
        <v>96</v>
      </c>
      <c r="I368" s="922"/>
      <c r="J368" s="933" t="s">
        <v>351</v>
      </c>
      <c r="K368" s="933"/>
      <c r="L368" s="933"/>
      <c r="M368" s="932" t="s">
        <v>96</v>
      </c>
      <c r="N368" s="932"/>
      <c r="O368" s="933" t="s">
        <v>351</v>
      </c>
      <c r="P368" s="933"/>
      <c r="Q368" s="933"/>
    </row>
    <row r="369" spans="1:19" s="3" customFormat="1">
      <c r="A369" s="937" t="s">
        <v>6</v>
      </c>
      <c r="B369" s="937"/>
      <c r="C369" s="934" t="str">
        <f>IF(AND(E365&lt;=2%,ABS(E367-1)/1&lt;=0.05),"Pass","Fail")</f>
        <v>Pass</v>
      </c>
      <c r="D369" s="935"/>
      <c r="E369" s="935"/>
      <c r="F369" s="935"/>
      <c r="G369" s="936"/>
      <c r="H369" s="934" t="str">
        <f>IF(AND(J365&lt;=2%,ABS(J367-5)/5&lt;=0.05),"Pass","Fail")</f>
        <v>Pass</v>
      </c>
      <c r="I369" s="935"/>
      <c r="J369" s="935"/>
      <c r="K369" s="935"/>
      <c r="L369" s="936"/>
      <c r="M369" s="934" t="str">
        <f>IF(AND(O365&lt;=2%,ABS(O367-25)/25&lt;=0.05),"Pass","Fail")</f>
        <v>Pass</v>
      </c>
      <c r="N369" s="935"/>
      <c r="O369" s="935"/>
      <c r="P369" s="935"/>
      <c r="Q369" s="936"/>
    </row>
    <row r="370" spans="1:19" s="3" customFormat="1" ht="14.5">
      <c r="A370" s="793" t="s">
        <v>349</v>
      </c>
      <c r="B370" s="793"/>
      <c r="C370" s="793"/>
      <c r="D370" s="793"/>
      <c r="E370" s="793"/>
      <c r="F370" s="793"/>
      <c r="G370" s="793"/>
      <c r="H370" s="793"/>
      <c r="I370" s="793"/>
      <c r="J370" s="793"/>
      <c r="K370" s="793"/>
      <c r="L370" s="793"/>
      <c r="M370" s="793"/>
      <c r="N370" s="793"/>
      <c r="O370" s="793"/>
      <c r="P370" s="793"/>
      <c r="Q370" s="793"/>
      <c r="R370" s="9"/>
      <c r="S370" s="9"/>
    </row>
    <row r="371" spans="1:19" s="3" customFormat="1" ht="23.25" customHeight="1" thickBot="1">
      <c r="A371" s="794" t="s">
        <v>73</v>
      </c>
      <c r="B371" s="794"/>
      <c r="C371" s="796" t="s">
        <v>107</v>
      </c>
      <c r="D371" s="797"/>
      <c r="E371" s="798"/>
      <c r="F371" s="799" t="s">
        <v>108</v>
      </c>
      <c r="G371" s="797"/>
      <c r="H371" s="798"/>
      <c r="I371" s="799" t="s">
        <v>109</v>
      </c>
      <c r="J371" s="797"/>
      <c r="K371" s="798"/>
      <c r="L371" s="790" t="s">
        <v>110</v>
      </c>
      <c r="M371" s="791"/>
      <c r="N371" s="792"/>
      <c r="O371" s="35"/>
      <c r="P371" s="35"/>
      <c r="Q371" s="36"/>
      <c r="R371" s="9"/>
      <c r="S371" s="9"/>
    </row>
    <row r="372" spans="1:19" s="3" customFormat="1" ht="15" thickBot="1">
      <c r="A372" s="795"/>
      <c r="B372" s="795"/>
      <c r="C372" s="56" t="s">
        <v>98</v>
      </c>
      <c r="D372" s="800" t="s">
        <v>54</v>
      </c>
      <c r="E372" s="801"/>
      <c r="F372" s="57" t="s">
        <v>98</v>
      </c>
      <c r="G372" s="800" t="s">
        <v>54</v>
      </c>
      <c r="H372" s="801"/>
      <c r="I372" s="57" t="s">
        <v>98</v>
      </c>
      <c r="J372" s="800" t="s">
        <v>54</v>
      </c>
      <c r="K372" s="801"/>
      <c r="L372" s="57" t="s">
        <v>98</v>
      </c>
      <c r="M372" s="800" t="s">
        <v>54</v>
      </c>
      <c r="N372" s="801"/>
      <c r="O372" s="37"/>
      <c r="P372" s="37"/>
      <c r="Q372" s="38"/>
      <c r="R372" s="9"/>
      <c r="S372" s="9"/>
    </row>
    <row r="373" spans="1:19" s="3" customFormat="1" ht="15" thickBot="1">
      <c r="A373" s="762">
        <v>1</v>
      </c>
      <c r="B373" s="762"/>
      <c r="C373" s="334">
        <v>0.61110200000000003</v>
      </c>
      <c r="D373" s="741">
        <v>9.8796029999999995</v>
      </c>
      <c r="E373" s="763"/>
      <c r="F373" s="354">
        <v>0.61662300000000003</v>
      </c>
      <c r="G373" s="741">
        <v>9.9746699999999997</v>
      </c>
      <c r="H373" s="763"/>
      <c r="I373" s="374">
        <v>0.60238800000000003</v>
      </c>
      <c r="J373" s="741">
        <v>9.7387250000000005</v>
      </c>
      <c r="K373" s="763"/>
      <c r="L373" s="394">
        <v>0.61117100000000002</v>
      </c>
      <c r="M373" s="741">
        <v>9.8864769999999993</v>
      </c>
      <c r="N373" s="763"/>
      <c r="O373" s="37"/>
      <c r="P373" s="37"/>
      <c r="Q373" s="38"/>
      <c r="R373" s="9"/>
      <c r="S373" s="9"/>
    </row>
    <row r="374" spans="1:19" s="3" customFormat="1" ht="15" thickBot="1">
      <c r="A374" s="762">
        <v>2</v>
      </c>
      <c r="B374" s="762"/>
      <c r="C374" s="335">
        <v>0.61049699999999996</v>
      </c>
      <c r="D374" s="741">
        <v>9.8698219999999992</v>
      </c>
      <c r="E374" s="763"/>
      <c r="F374" s="355">
        <v>0.62280199999999997</v>
      </c>
      <c r="G374" s="741">
        <v>10.074623000000001</v>
      </c>
      <c r="H374" s="763"/>
      <c r="I374" s="375">
        <v>0.61451999999999996</v>
      </c>
      <c r="J374" s="741">
        <v>9.9348620000000007</v>
      </c>
      <c r="K374" s="763"/>
      <c r="L374" s="395">
        <v>0.60001000000000004</v>
      </c>
      <c r="M374" s="741">
        <v>9.7059329999999999</v>
      </c>
      <c r="N374" s="763"/>
      <c r="O374" s="37"/>
      <c r="P374" s="37"/>
      <c r="Q374" s="38"/>
      <c r="R374" s="9"/>
      <c r="S374" s="9"/>
    </row>
    <row r="375" spans="1:19" s="3" customFormat="1" ht="15" thickBot="1">
      <c r="A375" s="762">
        <v>3</v>
      </c>
      <c r="B375" s="762"/>
      <c r="C375" s="336">
        <v>0.61179099999999997</v>
      </c>
      <c r="D375" s="741">
        <v>9.8907419999999995</v>
      </c>
      <c r="E375" s="763"/>
      <c r="F375" s="356">
        <v>0.61779300000000004</v>
      </c>
      <c r="G375" s="741">
        <v>9.9935960000000001</v>
      </c>
      <c r="H375" s="763"/>
      <c r="I375" s="376">
        <v>0.60885800000000001</v>
      </c>
      <c r="J375" s="741">
        <v>9.8433250000000001</v>
      </c>
      <c r="K375" s="763"/>
      <c r="L375" s="396">
        <v>0.61068699999999998</v>
      </c>
      <c r="M375" s="741">
        <v>9.8786480000000001</v>
      </c>
      <c r="N375" s="763"/>
      <c r="O375" s="37"/>
      <c r="P375" s="37"/>
      <c r="Q375" s="38"/>
      <c r="R375" s="9"/>
      <c r="S375" s="9"/>
    </row>
    <row r="376" spans="1:19" s="3" customFormat="1" ht="15" thickBot="1">
      <c r="A376" s="762">
        <v>4</v>
      </c>
      <c r="B376" s="762"/>
      <c r="C376" s="337">
        <v>0.61113099999999998</v>
      </c>
      <c r="D376" s="741">
        <v>9.8800720000000002</v>
      </c>
      <c r="E376" s="763"/>
      <c r="F376" s="357">
        <v>0.61348899999999995</v>
      </c>
      <c r="G376" s="741">
        <v>9.9239739999999994</v>
      </c>
      <c r="H376" s="763"/>
      <c r="I376" s="377">
        <v>0.609348</v>
      </c>
      <c r="J376" s="741">
        <v>9.8512470000000008</v>
      </c>
      <c r="K376" s="763"/>
      <c r="L376" s="397">
        <v>0.60530499999999998</v>
      </c>
      <c r="M376" s="741">
        <v>9.7915869999999998</v>
      </c>
      <c r="N376" s="763"/>
      <c r="O376" s="37"/>
      <c r="P376" s="37"/>
      <c r="Q376" s="38"/>
      <c r="R376" s="9"/>
      <c r="S376" s="9"/>
    </row>
    <row r="377" spans="1:19" s="3" customFormat="1" ht="15" thickBot="1">
      <c r="A377" s="762">
        <v>5</v>
      </c>
      <c r="B377" s="762"/>
      <c r="C377" s="338">
        <v>0.62124000000000001</v>
      </c>
      <c r="D377" s="741">
        <v>10.043502999999999</v>
      </c>
      <c r="E377" s="763"/>
      <c r="F377" s="358">
        <v>0.62983199999999995</v>
      </c>
      <c r="G377" s="741">
        <v>10.188343</v>
      </c>
      <c r="H377" s="763"/>
      <c r="I377" s="378">
        <v>0.58429699999999996</v>
      </c>
      <c r="J377" s="741">
        <v>9.4462499999999991</v>
      </c>
      <c r="K377" s="763"/>
      <c r="L377" s="398">
        <v>0.61559200000000003</v>
      </c>
      <c r="M377" s="741">
        <v>9.9579920000000008</v>
      </c>
      <c r="N377" s="763"/>
      <c r="O377" s="37"/>
      <c r="P377" s="37"/>
      <c r="Q377" s="38"/>
      <c r="R377" s="9"/>
      <c r="S377" s="9"/>
    </row>
    <row r="378" spans="1:19" s="3" customFormat="1" ht="15" thickBot="1">
      <c r="A378" s="762">
        <v>6</v>
      </c>
      <c r="B378" s="762"/>
      <c r="C378" s="339">
        <v>0.61032699999999995</v>
      </c>
      <c r="D378" s="741">
        <v>9.8670740000000006</v>
      </c>
      <c r="E378" s="763"/>
      <c r="F378" s="359">
        <v>0.63017900000000004</v>
      </c>
      <c r="G378" s="741">
        <v>10.193956</v>
      </c>
      <c r="H378" s="763"/>
      <c r="I378" s="379">
        <v>0.613093</v>
      </c>
      <c r="J378" s="741">
        <v>9.9117920000000002</v>
      </c>
      <c r="K378" s="763"/>
      <c r="L378" s="399">
        <v>0.60964200000000002</v>
      </c>
      <c r="M378" s="741">
        <v>9.8617430000000006</v>
      </c>
      <c r="N378" s="763"/>
      <c r="O378" s="37"/>
      <c r="P378" s="37"/>
      <c r="Q378" s="38"/>
      <c r="R378" s="9"/>
      <c r="S378" s="9"/>
    </row>
    <row r="379" spans="1:19" s="3" customFormat="1" ht="15" thickBot="1">
      <c r="A379" s="762">
        <v>7</v>
      </c>
      <c r="B379" s="762"/>
      <c r="C379" s="340">
        <v>0.61146400000000001</v>
      </c>
      <c r="D379" s="741">
        <v>9.8854559999999996</v>
      </c>
      <c r="E379" s="763"/>
      <c r="F379" s="360">
        <v>0.62294000000000005</v>
      </c>
      <c r="G379" s="741">
        <v>10.076855999999999</v>
      </c>
      <c r="H379" s="763"/>
      <c r="I379" s="380">
        <v>0.61077199999999998</v>
      </c>
      <c r="J379" s="741">
        <v>9.8742680000000007</v>
      </c>
      <c r="K379" s="763"/>
      <c r="L379" s="400">
        <v>0.61221700000000001</v>
      </c>
      <c r="M379" s="741">
        <v>9.903397</v>
      </c>
      <c r="N379" s="763"/>
      <c r="O379" s="37"/>
      <c r="P379" s="37"/>
      <c r="Q379" s="38"/>
      <c r="R379" s="9"/>
      <c r="S379" s="9"/>
    </row>
    <row r="380" spans="1:19" s="3" customFormat="1" ht="15" thickBot="1">
      <c r="A380" s="762">
        <v>8</v>
      </c>
      <c r="B380" s="762"/>
      <c r="C380" s="341">
        <v>0.61485199999999995</v>
      </c>
      <c r="D380" s="741">
        <v>9.9402290000000004</v>
      </c>
      <c r="E380" s="763"/>
      <c r="F380" s="361">
        <v>0.620147</v>
      </c>
      <c r="G380" s="741">
        <v>10.031675</v>
      </c>
      <c r="H380" s="763"/>
      <c r="I380" s="381">
        <v>0.594472</v>
      </c>
      <c r="J380" s="741">
        <v>9.6107479999999992</v>
      </c>
      <c r="K380" s="763"/>
      <c r="L380" s="401">
        <v>0.60985100000000003</v>
      </c>
      <c r="M380" s="741">
        <v>9.8651239999999998</v>
      </c>
      <c r="N380" s="763"/>
      <c r="O380" s="37"/>
      <c r="P380" s="37"/>
      <c r="Q380" s="38"/>
      <c r="R380" s="9"/>
      <c r="S380" s="9"/>
    </row>
    <row r="381" spans="1:19" s="3" customFormat="1" ht="15" thickBot="1">
      <c r="A381" s="762">
        <v>9</v>
      </c>
      <c r="B381" s="762"/>
      <c r="C381" s="342">
        <v>0.608433</v>
      </c>
      <c r="D381" s="741">
        <v>9.8364539999999998</v>
      </c>
      <c r="E381" s="763"/>
      <c r="F381" s="362">
        <v>0.61229100000000003</v>
      </c>
      <c r="G381" s="741">
        <v>9.9045939999999995</v>
      </c>
      <c r="H381" s="763"/>
      <c r="I381" s="382">
        <v>0.61024800000000001</v>
      </c>
      <c r="J381" s="741">
        <v>9.8657970000000006</v>
      </c>
      <c r="K381" s="763"/>
      <c r="L381" s="402">
        <v>0.61296099999999998</v>
      </c>
      <c r="M381" s="741">
        <v>9.9154330000000002</v>
      </c>
      <c r="N381" s="763"/>
      <c r="O381" s="37"/>
      <c r="P381" s="37"/>
      <c r="Q381" s="38"/>
      <c r="R381" s="9"/>
      <c r="S381" s="9"/>
    </row>
    <row r="382" spans="1:19" s="3" customFormat="1" ht="15" thickBot="1">
      <c r="A382" s="762">
        <v>10</v>
      </c>
      <c r="B382" s="762"/>
      <c r="C382" s="343">
        <v>0.60902000000000001</v>
      </c>
      <c r="D382" s="741">
        <v>9.8459439999999994</v>
      </c>
      <c r="E382" s="763"/>
      <c r="F382" s="363">
        <v>0.61094000000000004</v>
      </c>
      <c r="G382" s="741">
        <v>9.8827400000000001</v>
      </c>
      <c r="H382" s="763"/>
      <c r="I382" s="383">
        <v>0.60787999999999998</v>
      </c>
      <c r="J382" s="741">
        <v>9.8275140000000007</v>
      </c>
      <c r="K382" s="763"/>
      <c r="L382" s="403">
        <v>0.60963199999999995</v>
      </c>
      <c r="M382" s="741">
        <v>9.8615820000000003</v>
      </c>
      <c r="N382" s="763"/>
      <c r="O382" s="37"/>
      <c r="P382" s="37"/>
      <c r="Q382" s="38"/>
      <c r="R382" s="9"/>
      <c r="S382" s="9"/>
    </row>
    <row r="383" spans="1:19" s="3" customFormat="1" ht="15" thickBot="1">
      <c r="A383" s="762">
        <v>11</v>
      </c>
      <c r="B383" s="762"/>
      <c r="C383" s="344">
        <v>0.60746800000000001</v>
      </c>
      <c r="D383" s="741">
        <v>9.8208529999999996</v>
      </c>
      <c r="E383" s="763"/>
      <c r="F383" s="364">
        <v>0.61419699999999999</v>
      </c>
      <c r="G383" s="741">
        <v>9.9354259999999996</v>
      </c>
      <c r="H383" s="763"/>
      <c r="I383" s="384">
        <v>0.61956100000000003</v>
      </c>
      <c r="J383" s="741">
        <v>10.016359</v>
      </c>
      <c r="K383" s="763"/>
      <c r="L383" s="404">
        <v>0.60855300000000001</v>
      </c>
      <c r="M383" s="741">
        <v>9.8441270000000003</v>
      </c>
      <c r="N383" s="763"/>
      <c r="O383" s="37"/>
      <c r="P383" s="37"/>
      <c r="Q383" s="38"/>
      <c r="R383" s="9"/>
      <c r="S383" s="9"/>
    </row>
    <row r="384" spans="1:19" s="3" customFormat="1" ht="15" thickBot="1">
      <c r="A384" s="762">
        <v>12</v>
      </c>
      <c r="B384" s="762"/>
      <c r="C384" s="345">
        <v>0.61121999999999999</v>
      </c>
      <c r="D384" s="741">
        <v>9.8815109999999997</v>
      </c>
      <c r="E384" s="763"/>
      <c r="F384" s="365">
        <v>0.61613600000000002</v>
      </c>
      <c r="G384" s="741">
        <v>9.9667919999999999</v>
      </c>
      <c r="H384" s="763"/>
      <c r="I384" s="385">
        <v>0.61174300000000004</v>
      </c>
      <c r="J384" s="741">
        <v>9.8899659999999994</v>
      </c>
      <c r="K384" s="763"/>
      <c r="L384" s="405">
        <v>0.61461200000000005</v>
      </c>
      <c r="M384" s="741">
        <v>9.9421400000000002</v>
      </c>
      <c r="N384" s="763"/>
      <c r="O384" s="37"/>
      <c r="P384" s="37"/>
      <c r="Q384" s="38"/>
      <c r="R384" s="9"/>
      <c r="S384" s="9"/>
    </row>
    <row r="385" spans="1:19" s="3" customFormat="1" ht="15" thickBot="1">
      <c r="A385" s="762">
        <v>13</v>
      </c>
      <c r="B385" s="762"/>
      <c r="C385" s="346">
        <v>0.61685900000000005</v>
      </c>
      <c r="D385" s="741">
        <v>9.9726759999999999</v>
      </c>
      <c r="E385" s="763"/>
      <c r="F385" s="366">
        <v>0.60424199999999995</v>
      </c>
      <c r="G385" s="741">
        <v>9.7743909999999996</v>
      </c>
      <c r="H385" s="763"/>
      <c r="I385" s="386">
        <v>0.61472899999999997</v>
      </c>
      <c r="J385" s="741">
        <v>9.9382400000000004</v>
      </c>
      <c r="K385" s="763"/>
      <c r="L385" s="406">
        <v>0.61435600000000001</v>
      </c>
      <c r="M385" s="741">
        <v>9.9379980000000003</v>
      </c>
      <c r="N385" s="763"/>
      <c r="O385" s="37"/>
      <c r="P385" s="37"/>
      <c r="Q385" s="38"/>
      <c r="R385" s="9"/>
      <c r="S385" s="9"/>
    </row>
    <row r="386" spans="1:19" s="3" customFormat="1" ht="15" thickBot="1">
      <c r="A386" s="762">
        <v>14</v>
      </c>
      <c r="B386" s="762"/>
      <c r="C386" s="347">
        <v>0.61680299999999999</v>
      </c>
      <c r="D386" s="741">
        <v>9.9717710000000004</v>
      </c>
      <c r="E386" s="763"/>
      <c r="F386" s="367">
        <v>0.61032299999999995</v>
      </c>
      <c r="G386" s="741">
        <v>9.8727590000000003</v>
      </c>
      <c r="H386" s="763"/>
      <c r="I386" s="387">
        <v>0.61682899999999996</v>
      </c>
      <c r="J386" s="741">
        <v>9.9721910000000005</v>
      </c>
      <c r="K386" s="763"/>
      <c r="L386" s="407">
        <v>0.609398</v>
      </c>
      <c r="M386" s="741">
        <v>9.8577960000000004</v>
      </c>
      <c r="N386" s="763"/>
      <c r="O386" s="37"/>
      <c r="P386" s="37"/>
      <c r="Q386" s="38"/>
      <c r="R386" s="9"/>
      <c r="S386" s="9"/>
    </row>
    <row r="387" spans="1:19" s="3" customFormat="1" ht="15" thickBot="1">
      <c r="A387" s="762">
        <v>15</v>
      </c>
      <c r="B387" s="762"/>
      <c r="C387" s="348">
        <v>0.61175999999999997</v>
      </c>
      <c r="D387" s="741">
        <v>9.8902409999999996</v>
      </c>
      <c r="E387" s="763"/>
      <c r="F387" s="368">
        <v>0.61873299999999998</v>
      </c>
      <c r="G387" s="741">
        <v>10.008801999999999</v>
      </c>
      <c r="H387" s="763"/>
      <c r="I387" s="388">
        <v>0.61781299999999995</v>
      </c>
      <c r="J387" s="741">
        <v>9.9880990000000001</v>
      </c>
      <c r="K387" s="763"/>
      <c r="L387" s="408">
        <v>0.61349699999999996</v>
      </c>
      <c r="M387" s="741">
        <v>9.9241030000000006</v>
      </c>
      <c r="N387" s="763"/>
      <c r="O387" s="37"/>
      <c r="P387" s="37"/>
      <c r="Q387" s="38"/>
      <c r="R387" s="9"/>
      <c r="S387" s="9"/>
    </row>
    <row r="388" spans="1:19" s="3" customFormat="1" ht="15" thickBot="1">
      <c r="A388" s="762">
        <v>16</v>
      </c>
      <c r="B388" s="762"/>
      <c r="C388" s="349">
        <v>0.60671799999999998</v>
      </c>
      <c r="D388" s="741">
        <v>9.8087280000000003</v>
      </c>
      <c r="E388" s="763"/>
      <c r="F388" s="369">
        <v>0.62047099999999999</v>
      </c>
      <c r="G388" s="741">
        <v>10.036916</v>
      </c>
      <c r="H388" s="763"/>
      <c r="I388" s="389">
        <v>0.61552899999999999</v>
      </c>
      <c r="J388" s="741">
        <v>9.951174</v>
      </c>
      <c r="K388" s="763"/>
      <c r="L388" s="409">
        <v>0.61152600000000001</v>
      </c>
      <c r="M388" s="741">
        <v>9.89222</v>
      </c>
      <c r="N388" s="763"/>
      <c r="O388" s="37"/>
      <c r="P388" s="37"/>
      <c r="Q388" s="38"/>
      <c r="R388" s="9"/>
      <c r="S388" s="9"/>
    </row>
    <row r="389" spans="1:19" s="3" customFormat="1" ht="15" thickBot="1">
      <c r="A389" s="762">
        <v>17</v>
      </c>
      <c r="B389" s="762"/>
      <c r="C389" s="350">
        <v>0.61092000000000002</v>
      </c>
      <c r="D389" s="741">
        <v>9.8766610000000004</v>
      </c>
      <c r="E389" s="763"/>
      <c r="F389" s="370">
        <v>0.61926199999999998</v>
      </c>
      <c r="G389" s="741">
        <v>10.017359000000001</v>
      </c>
      <c r="H389" s="763"/>
      <c r="I389" s="390">
        <v>0.62337900000000002</v>
      </c>
      <c r="J389" s="741">
        <v>10.078084</v>
      </c>
      <c r="K389" s="763"/>
      <c r="L389" s="410">
        <v>0.61020700000000005</v>
      </c>
      <c r="M389" s="741">
        <v>9.8708829999999992</v>
      </c>
      <c r="N389" s="763"/>
      <c r="O389" s="37"/>
      <c r="P389" s="37"/>
      <c r="Q389" s="38"/>
      <c r="R389" s="9"/>
      <c r="S389" s="9"/>
    </row>
    <row r="390" spans="1:19" s="3" customFormat="1" ht="15" thickBot="1">
      <c r="A390" s="762">
        <v>18</v>
      </c>
      <c r="B390" s="762"/>
      <c r="C390" s="351">
        <v>0.61571699999999996</v>
      </c>
      <c r="D390" s="741">
        <v>9.9542129999999993</v>
      </c>
      <c r="E390" s="763"/>
      <c r="F390" s="371">
        <v>0.62356900000000004</v>
      </c>
      <c r="G390" s="741">
        <v>10.087031</v>
      </c>
      <c r="H390" s="763"/>
      <c r="I390" s="391">
        <v>0.62149699999999997</v>
      </c>
      <c r="J390" s="741">
        <v>10.047658</v>
      </c>
      <c r="K390" s="763"/>
      <c r="L390" s="411">
        <v>0.61174899999999999</v>
      </c>
      <c r="M390" s="741">
        <v>9.8958270000000006</v>
      </c>
      <c r="N390" s="763"/>
      <c r="O390" s="37"/>
      <c r="P390" s="37"/>
      <c r="Q390" s="38"/>
      <c r="R390" s="9"/>
      <c r="S390" s="9"/>
    </row>
    <row r="391" spans="1:19" s="3" customFormat="1" ht="15" thickBot="1">
      <c r="A391" s="762">
        <v>19</v>
      </c>
      <c r="B391" s="762"/>
      <c r="C391" s="352">
        <v>0.60842300000000005</v>
      </c>
      <c r="D391" s="741">
        <v>9.8362920000000003</v>
      </c>
      <c r="E391" s="763"/>
      <c r="F391" s="372">
        <v>0.61971200000000004</v>
      </c>
      <c r="G391" s="741">
        <v>10.024639000000001</v>
      </c>
      <c r="H391" s="763"/>
      <c r="I391" s="392">
        <v>0.61804599999999998</v>
      </c>
      <c r="J391" s="741">
        <v>9.9918659999999999</v>
      </c>
      <c r="K391" s="763"/>
      <c r="L391" s="412">
        <v>0.61275100000000005</v>
      </c>
      <c r="M391" s="741">
        <v>9.9120360000000005</v>
      </c>
      <c r="N391" s="763"/>
      <c r="O391" s="37"/>
      <c r="P391" s="37"/>
      <c r="Q391" s="38"/>
      <c r="R391" s="9"/>
      <c r="S391" s="9"/>
    </row>
    <row r="392" spans="1:19" s="3" customFormat="1" ht="15" thickBot="1">
      <c r="A392" s="762">
        <v>20</v>
      </c>
      <c r="B392" s="762"/>
      <c r="C392" s="353">
        <v>0.61645799999999995</v>
      </c>
      <c r="D392" s="741">
        <v>9.9661930000000005</v>
      </c>
      <c r="E392" s="763"/>
      <c r="F392" s="373">
        <v>0.59984999999999999</v>
      </c>
      <c r="G392" s="741">
        <v>9.7033450000000006</v>
      </c>
      <c r="H392" s="763"/>
      <c r="I392" s="393">
        <v>0.61320300000000005</v>
      </c>
      <c r="J392" s="741">
        <v>9.91357</v>
      </c>
      <c r="K392" s="763"/>
      <c r="L392" s="413">
        <v>0.60545899999999997</v>
      </c>
      <c r="M392" s="741">
        <v>9.7940780000000007</v>
      </c>
      <c r="N392" s="763"/>
      <c r="O392" s="37"/>
      <c r="P392" s="37"/>
      <c r="Q392" s="38"/>
      <c r="R392" s="9"/>
      <c r="S392" s="9"/>
    </row>
    <row r="393" spans="1:19" s="3" customFormat="1" ht="15" thickBot="1">
      <c r="A393" s="762" t="s">
        <v>5</v>
      </c>
      <c r="B393" s="762"/>
      <c r="C393" s="21" t="s">
        <v>96</v>
      </c>
      <c r="D393" s="764">
        <f>STDEV(D373:E392)/AVERAGE(D373:E392)</f>
        <v>6.104183813648442E-3</v>
      </c>
      <c r="E393" s="765"/>
      <c r="F393" s="22" t="s">
        <v>96</v>
      </c>
      <c r="G393" s="764">
        <f>STDEV(G373:H392)/AVERAGE(G373:H392)</f>
        <v>1.2155365120520224E-2</v>
      </c>
      <c r="H393" s="765"/>
      <c r="I393" s="22" t="s">
        <v>96</v>
      </c>
      <c r="J393" s="764">
        <f>STDEV(J373:K392)/AVERAGE(J373:K392)</f>
        <v>1.4999800764998921E-2</v>
      </c>
      <c r="K393" s="765"/>
      <c r="L393" s="6" t="s">
        <v>96</v>
      </c>
      <c r="M393" s="766">
        <f>STDEV(M373:N392)/AVERAGE(M373:N392)</f>
        <v>5.9807420897352399E-3</v>
      </c>
      <c r="N393" s="765"/>
      <c r="O393" s="37"/>
      <c r="P393" s="37"/>
      <c r="Q393" s="38"/>
      <c r="R393" s="9"/>
      <c r="S393" s="9"/>
    </row>
    <row r="394" spans="1:19" s="3" customFormat="1" ht="15" thickBot="1">
      <c r="A394" s="762" t="s">
        <v>102</v>
      </c>
      <c r="B394" s="762"/>
      <c r="C394" s="21" t="s">
        <v>96</v>
      </c>
      <c r="D394" s="767" t="s">
        <v>181</v>
      </c>
      <c r="E394" s="768"/>
      <c r="F394" s="22" t="s">
        <v>96</v>
      </c>
      <c r="G394" s="767" t="s">
        <v>181</v>
      </c>
      <c r="H394" s="768"/>
      <c r="I394" s="22" t="s">
        <v>96</v>
      </c>
      <c r="J394" s="767" t="s">
        <v>181</v>
      </c>
      <c r="K394" s="768"/>
      <c r="L394" s="6" t="s">
        <v>96</v>
      </c>
      <c r="M394" s="769" t="s">
        <v>181</v>
      </c>
      <c r="N394" s="768"/>
      <c r="O394" s="37"/>
      <c r="P394" s="37"/>
      <c r="Q394" s="38"/>
      <c r="R394" s="9"/>
      <c r="S394" s="9"/>
    </row>
    <row r="395" spans="1:19" s="3" customFormat="1" ht="15" thickBot="1">
      <c r="A395" s="762" t="s">
        <v>103</v>
      </c>
      <c r="B395" s="762"/>
      <c r="C395" s="21" t="s">
        <v>96</v>
      </c>
      <c r="D395" s="753">
        <f>AVERAGE(D373:E392)</f>
        <v>9.8959019000000019</v>
      </c>
      <c r="E395" s="754"/>
      <c r="F395" s="22" t="s">
        <v>96</v>
      </c>
      <c r="G395" s="753">
        <f>AVERAGE(G373:H392)</f>
        <v>9.9836243500000013</v>
      </c>
      <c r="H395" s="754"/>
      <c r="I395" s="22" t="s">
        <v>96</v>
      </c>
      <c r="J395" s="753">
        <f>AVERAGE(J373:K392)</f>
        <v>9.8845867500000004</v>
      </c>
      <c r="K395" s="754"/>
      <c r="L395" s="6" t="s">
        <v>96</v>
      </c>
      <c r="M395" s="753">
        <f>AVERAGE(M373:N392)</f>
        <v>9.8749562000000015</v>
      </c>
      <c r="N395" s="754"/>
      <c r="O395" s="37"/>
      <c r="P395" s="37"/>
      <c r="Q395" s="38"/>
      <c r="R395" s="9"/>
      <c r="S395" s="9"/>
    </row>
    <row r="396" spans="1:19" s="3" customFormat="1" ht="15" thickBot="1">
      <c r="A396" s="752" t="s">
        <v>104</v>
      </c>
      <c r="B396" s="752"/>
      <c r="C396" s="21" t="s">
        <v>96</v>
      </c>
      <c r="D396" s="753" t="s">
        <v>351</v>
      </c>
      <c r="E396" s="754"/>
      <c r="F396" s="22" t="s">
        <v>96</v>
      </c>
      <c r="G396" s="753" t="s">
        <v>351</v>
      </c>
      <c r="H396" s="754"/>
      <c r="I396" s="22" t="s">
        <v>96</v>
      </c>
      <c r="J396" s="753" t="s">
        <v>351</v>
      </c>
      <c r="K396" s="754"/>
      <c r="L396" s="6" t="s">
        <v>96</v>
      </c>
      <c r="M396" s="753" t="s">
        <v>351</v>
      </c>
      <c r="N396" s="754"/>
      <c r="O396" s="37"/>
      <c r="P396" s="37"/>
      <c r="Q396" s="38"/>
      <c r="R396" s="9"/>
      <c r="S396" s="9"/>
    </row>
    <row r="397" spans="1:19" s="3" customFormat="1" ht="10.5" customHeight="1">
      <c r="A397" s="752" t="s">
        <v>6</v>
      </c>
      <c r="B397" s="752"/>
      <c r="C397" s="755" t="str">
        <f>IF(AND(D393&lt;=2%, ABS(D395-10)/10 &lt;= 0.05),"Pass","Fail")</f>
        <v>Pass</v>
      </c>
      <c r="D397" s="755"/>
      <c r="E397" s="755"/>
      <c r="F397" s="755" t="str">
        <f>IF(AND(G393&lt;=2%, ABS(G395-10)/10 &lt;= 0.05),"Pass","Fail")</f>
        <v>Pass</v>
      </c>
      <c r="G397" s="755"/>
      <c r="H397" s="755"/>
      <c r="I397" s="755" t="str">
        <f>IF(AND(J393&lt;=2%, ABS(J395-10)/10 &lt;= 0.05),"Pass","Fail")</f>
        <v>Pass</v>
      </c>
      <c r="J397" s="755"/>
      <c r="K397" s="755"/>
      <c r="L397" s="755" t="str">
        <f>IF(AND(M393&lt;=2%, ABS(M395-10)/10 &lt;= 0.05),"Pass","Fail")</f>
        <v>Pass</v>
      </c>
      <c r="M397" s="755"/>
      <c r="N397" s="755"/>
      <c r="O397" s="39"/>
      <c r="P397" s="39"/>
      <c r="Q397" s="40"/>
    </row>
    <row r="398" spans="1:19" s="3" customFormat="1" ht="14.5">
      <c r="A398" s="793" t="s">
        <v>350</v>
      </c>
      <c r="B398" s="793"/>
      <c r="C398" s="793"/>
      <c r="D398" s="793"/>
      <c r="E398" s="793"/>
      <c r="F398" s="793"/>
      <c r="G398" s="793"/>
      <c r="H398" s="793"/>
      <c r="I398" s="793"/>
      <c r="J398" s="793"/>
      <c r="K398" s="793"/>
      <c r="L398" s="793"/>
      <c r="M398" s="793"/>
      <c r="N398" s="793"/>
      <c r="O398" s="793"/>
      <c r="P398" s="793"/>
      <c r="Q398" s="793"/>
      <c r="R398" s="9"/>
      <c r="S398" s="9"/>
    </row>
    <row r="399" spans="1:19" s="3" customFormat="1" ht="23.25" customHeight="1" thickBot="1">
      <c r="A399" s="794" t="s">
        <v>73</v>
      </c>
      <c r="B399" s="794"/>
      <c r="C399" s="796" t="s">
        <v>107</v>
      </c>
      <c r="D399" s="797"/>
      <c r="E399" s="798"/>
      <c r="F399" s="799" t="s">
        <v>108</v>
      </c>
      <c r="G399" s="797"/>
      <c r="H399" s="798"/>
      <c r="I399" s="799" t="s">
        <v>109</v>
      </c>
      <c r="J399" s="797"/>
      <c r="K399" s="798"/>
      <c r="L399" s="790" t="s">
        <v>110</v>
      </c>
      <c r="M399" s="791"/>
      <c r="N399" s="792"/>
      <c r="O399" s="35"/>
      <c r="P399" s="35"/>
      <c r="Q399" s="36"/>
      <c r="R399" s="9"/>
      <c r="S399" s="9"/>
    </row>
    <row r="400" spans="1:19" s="3" customFormat="1" ht="15" thickBot="1">
      <c r="A400" s="795"/>
      <c r="B400" s="795"/>
      <c r="C400" s="56" t="s">
        <v>98</v>
      </c>
      <c r="D400" s="800" t="s">
        <v>54</v>
      </c>
      <c r="E400" s="801"/>
      <c r="F400" s="57" t="s">
        <v>98</v>
      </c>
      <c r="G400" s="800" t="s">
        <v>54</v>
      </c>
      <c r="H400" s="801"/>
      <c r="I400" s="57" t="s">
        <v>98</v>
      </c>
      <c r="J400" s="800" t="s">
        <v>54</v>
      </c>
      <c r="K400" s="801"/>
      <c r="L400" s="57" t="s">
        <v>98</v>
      </c>
      <c r="M400" s="800" t="s">
        <v>54</v>
      </c>
      <c r="N400" s="801"/>
      <c r="O400" s="37"/>
      <c r="P400" s="37"/>
      <c r="Q400" s="38"/>
      <c r="R400" s="9"/>
      <c r="S400" s="9"/>
    </row>
    <row r="401" spans="1:19" s="3" customFormat="1" ht="15" thickBot="1">
      <c r="A401" s="762">
        <v>1</v>
      </c>
      <c r="B401" s="762"/>
      <c r="C401" s="414">
        <v>1.2462789999999999</v>
      </c>
      <c r="D401" s="741">
        <v>147.023988</v>
      </c>
      <c r="E401" s="763"/>
      <c r="F401" s="434">
        <v>1.2450129999999999</v>
      </c>
      <c r="G401" s="741">
        <v>146.970246</v>
      </c>
      <c r="H401" s="763"/>
      <c r="I401" s="454">
        <v>1.2474959999999999</v>
      </c>
      <c r="J401" s="741">
        <v>147.16755800000001</v>
      </c>
      <c r="K401" s="763"/>
      <c r="L401" s="474">
        <v>1.2510110000000001</v>
      </c>
      <c r="M401" s="741">
        <v>147.678293</v>
      </c>
      <c r="N401" s="763"/>
      <c r="O401" s="37"/>
      <c r="P401" s="37"/>
      <c r="Q401" s="38"/>
      <c r="R401" s="9"/>
      <c r="S401" s="9"/>
    </row>
    <row r="402" spans="1:19" s="3" customFormat="1" ht="15" thickBot="1">
      <c r="A402" s="762">
        <v>2</v>
      </c>
      <c r="B402" s="762"/>
      <c r="C402" s="415">
        <v>1.249026</v>
      </c>
      <c r="D402" s="741">
        <v>147.34805299999999</v>
      </c>
      <c r="E402" s="763"/>
      <c r="F402" s="435">
        <v>1.24502</v>
      </c>
      <c r="G402" s="741">
        <v>146.97107299999999</v>
      </c>
      <c r="H402" s="763"/>
      <c r="I402" s="455">
        <v>1.2561910000000001</v>
      </c>
      <c r="J402" s="741">
        <v>148.19331099999999</v>
      </c>
      <c r="K402" s="763"/>
      <c r="L402" s="475">
        <v>1.2519119999999999</v>
      </c>
      <c r="M402" s="741">
        <v>147.78465399999999</v>
      </c>
      <c r="N402" s="763"/>
      <c r="O402" s="37"/>
      <c r="P402" s="37"/>
      <c r="Q402" s="38"/>
      <c r="R402" s="9"/>
      <c r="S402" s="9"/>
    </row>
    <row r="403" spans="1:19" s="3" customFormat="1" ht="15" thickBot="1">
      <c r="A403" s="762">
        <v>3</v>
      </c>
      <c r="B403" s="762"/>
      <c r="C403" s="416">
        <v>1.2523</v>
      </c>
      <c r="D403" s="741">
        <v>147.73428799999999</v>
      </c>
      <c r="E403" s="763"/>
      <c r="F403" s="436">
        <v>1.245719</v>
      </c>
      <c r="G403" s="741">
        <v>147.05358799999999</v>
      </c>
      <c r="H403" s="763"/>
      <c r="I403" s="456">
        <v>1.249347</v>
      </c>
      <c r="J403" s="741">
        <v>147.38592199999999</v>
      </c>
      <c r="K403" s="763"/>
      <c r="L403" s="476">
        <v>1.2483979999999999</v>
      </c>
      <c r="M403" s="741">
        <v>147.36983599999999</v>
      </c>
      <c r="N403" s="763"/>
      <c r="O403" s="37"/>
      <c r="P403" s="37"/>
      <c r="Q403" s="38"/>
      <c r="R403" s="9"/>
      <c r="S403" s="9"/>
    </row>
    <row r="404" spans="1:19" s="3" customFormat="1" ht="15" thickBot="1">
      <c r="A404" s="762">
        <v>4</v>
      </c>
      <c r="B404" s="762"/>
      <c r="C404" s="417">
        <v>1.2561549999999999</v>
      </c>
      <c r="D404" s="741">
        <v>148.189064</v>
      </c>
      <c r="E404" s="763"/>
      <c r="F404" s="437">
        <v>1.2532369999999999</v>
      </c>
      <c r="G404" s="741">
        <v>147.94106600000001</v>
      </c>
      <c r="H404" s="763"/>
      <c r="I404" s="457">
        <v>1.247787</v>
      </c>
      <c r="J404" s="741">
        <v>147.201888</v>
      </c>
      <c r="K404" s="763"/>
      <c r="L404" s="477">
        <v>1.249428</v>
      </c>
      <c r="M404" s="741">
        <v>147.49142499999999</v>
      </c>
      <c r="N404" s="763"/>
      <c r="O404" s="37"/>
      <c r="P404" s="37"/>
      <c r="Q404" s="38"/>
      <c r="R404" s="9"/>
      <c r="S404" s="9"/>
    </row>
    <row r="405" spans="1:19" s="3" customFormat="1" ht="15" thickBot="1">
      <c r="A405" s="762">
        <v>5</v>
      </c>
      <c r="B405" s="762"/>
      <c r="C405" s="418">
        <v>1.2479750000000001</v>
      </c>
      <c r="D405" s="741">
        <v>147.22406599999999</v>
      </c>
      <c r="E405" s="763"/>
      <c r="F405" s="438">
        <v>1.2479420000000001</v>
      </c>
      <c r="G405" s="741">
        <v>147.31600700000001</v>
      </c>
      <c r="H405" s="763"/>
      <c r="I405" s="458">
        <v>1.245719</v>
      </c>
      <c r="J405" s="741">
        <v>146.95792499999999</v>
      </c>
      <c r="K405" s="763"/>
      <c r="L405" s="478">
        <v>1.2475339999999999</v>
      </c>
      <c r="M405" s="741">
        <v>147.267843</v>
      </c>
      <c r="N405" s="763"/>
      <c r="O405" s="37"/>
      <c r="P405" s="37"/>
      <c r="Q405" s="38"/>
      <c r="R405" s="9"/>
      <c r="S405" s="9"/>
    </row>
    <row r="406" spans="1:19" s="3" customFormat="1" ht="15" thickBot="1">
      <c r="A406" s="762">
        <v>6</v>
      </c>
      <c r="B406" s="762"/>
      <c r="C406" s="419">
        <v>1.250367</v>
      </c>
      <c r="D406" s="741">
        <v>147.50625099999999</v>
      </c>
      <c r="E406" s="763"/>
      <c r="F406" s="439">
        <v>1.2439039999999999</v>
      </c>
      <c r="G406" s="741">
        <v>146.83933200000001</v>
      </c>
      <c r="H406" s="763"/>
      <c r="I406" s="459">
        <v>1.2475229999999999</v>
      </c>
      <c r="J406" s="741">
        <v>147.17074400000001</v>
      </c>
      <c r="K406" s="763"/>
      <c r="L406" s="479">
        <v>1.2479929999999999</v>
      </c>
      <c r="M406" s="741">
        <v>147.32202699999999</v>
      </c>
      <c r="N406" s="763"/>
      <c r="O406" s="37"/>
      <c r="P406" s="37"/>
      <c r="Q406" s="38"/>
      <c r="R406" s="9"/>
      <c r="S406" s="9"/>
    </row>
    <row r="407" spans="1:19" s="3" customFormat="1" ht="15" thickBot="1">
      <c r="A407" s="762">
        <v>7</v>
      </c>
      <c r="B407" s="762"/>
      <c r="C407" s="420">
        <v>1.252462</v>
      </c>
      <c r="D407" s="741">
        <v>147.753399</v>
      </c>
      <c r="E407" s="763"/>
      <c r="F407" s="440">
        <v>1.246483</v>
      </c>
      <c r="G407" s="741">
        <v>147.143776</v>
      </c>
      <c r="H407" s="763"/>
      <c r="I407" s="460">
        <v>1.247973</v>
      </c>
      <c r="J407" s="741">
        <v>147.22382999999999</v>
      </c>
      <c r="K407" s="763"/>
      <c r="L407" s="480">
        <v>1.2478180000000001</v>
      </c>
      <c r="M407" s="741">
        <v>147.30136899999999</v>
      </c>
      <c r="N407" s="763"/>
      <c r="O407" s="37"/>
      <c r="P407" s="37"/>
      <c r="Q407" s="38"/>
      <c r="R407" s="9"/>
      <c r="S407" s="9"/>
    </row>
    <row r="408" spans="1:19" s="3" customFormat="1" ht="15" thickBot="1">
      <c r="A408" s="762">
        <v>8</v>
      </c>
      <c r="B408" s="762"/>
      <c r="C408" s="421">
        <v>1.250051</v>
      </c>
      <c r="D408" s="741">
        <v>147.46897300000001</v>
      </c>
      <c r="E408" s="763"/>
      <c r="F408" s="441">
        <v>1.2467569999999999</v>
      </c>
      <c r="G408" s="741">
        <v>147.17612099999999</v>
      </c>
      <c r="H408" s="763"/>
      <c r="I408" s="461">
        <v>1.247052</v>
      </c>
      <c r="J408" s="741">
        <v>147.11518000000001</v>
      </c>
      <c r="K408" s="763"/>
      <c r="L408" s="481">
        <v>1.2513399999999999</v>
      </c>
      <c r="M408" s="741">
        <v>147.71713099999999</v>
      </c>
      <c r="N408" s="763"/>
      <c r="O408" s="37"/>
      <c r="P408" s="37"/>
      <c r="Q408" s="38"/>
      <c r="R408" s="9"/>
      <c r="S408" s="9"/>
    </row>
    <row r="409" spans="1:19" s="3" customFormat="1" ht="15" thickBot="1">
      <c r="A409" s="762">
        <v>9</v>
      </c>
      <c r="B409" s="762"/>
      <c r="C409" s="422">
        <v>1.253177</v>
      </c>
      <c r="D409" s="741">
        <v>147.837748</v>
      </c>
      <c r="E409" s="763"/>
      <c r="F409" s="442">
        <v>1.2470399999999999</v>
      </c>
      <c r="G409" s="741">
        <v>147.20952800000001</v>
      </c>
      <c r="H409" s="763"/>
      <c r="I409" s="462">
        <v>1.2501070000000001</v>
      </c>
      <c r="J409" s="741">
        <v>147.47557900000001</v>
      </c>
      <c r="K409" s="763"/>
      <c r="L409" s="482">
        <v>1.2510079999999999</v>
      </c>
      <c r="M409" s="741">
        <v>147.67793900000001</v>
      </c>
      <c r="N409" s="763"/>
      <c r="O409" s="37"/>
      <c r="P409" s="37"/>
      <c r="Q409" s="38"/>
      <c r="R409" s="9"/>
      <c r="S409" s="9"/>
    </row>
    <row r="410" spans="1:19" s="3" customFormat="1" ht="15" thickBot="1">
      <c r="A410" s="762">
        <v>10</v>
      </c>
      <c r="B410" s="762"/>
      <c r="C410" s="423">
        <v>1.2565809999999999</v>
      </c>
      <c r="D410" s="741">
        <v>148.23931899999999</v>
      </c>
      <c r="E410" s="763"/>
      <c r="F410" s="443">
        <v>1.2416560000000001</v>
      </c>
      <c r="G410" s="741">
        <v>146.57396199999999</v>
      </c>
      <c r="H410" s="763"/>
      <c r="I410" s="463">
        <v>1.2461439999999999</v>
      </c>
      <c r="J410" s="741">
        <v>147.008062</v>
      </c>
      <c r="K410" s="763"/>
      <c r="L410" s="483">
        <v>1.245466</v>
      </c>
      <c r="M410" s="741">
        <v>147.02372199999999</v>
      </c>
      <c r="N410" s="763"/>
      <c r="O410" s="37"/>
      <c r="P410" s="37"/>
      <c r="Q410" s="38"/>
      <c r="R410" s="9"/>
      <c r="S410" s="9"/>
    </row>
    <row r="411" spans="1:19" s="3" customFormat="1" ht="15" thickBot="1">
      <c r="A411" s="762">
        <v>11</v>
      </c>
      <c r="B411" s="762"/>
      <c r="C411" s="424">
        <v>1.2514689999999999</v>
      </c>
      <c r="D411" s="741">
        <v>147.63625500000001</v>
      </c>
      <c r="E411" s="763"/>
      <c r="F411" s="444">
        <v>1.2491099999999999</v>
      </c>
      <c r="G411" s="741">
        <v>147.45388600000001</v>
      </c>
      <c r="H411" s="763"/>
      <c r="I411" s="464">
        <v>1.243476</v>
      </c>
      <c r="J411" s="741">
        <v>146.693318</v>
      </c>
      <c r="K411" s="763"/>
      <c r="L411" s="484">
        <v>1.2494099999999999</v>
      </c>
      <c r="M411" s="741">
        <v>147.48929999999999</v>
      </c>
      <c r="N411" s="763"/>
      <c r="O411" s="37"/>
      <c r="P411" s="37"/>
      <c r="Q411" s="38"/>
      <c r="R411" s="9"/>
      <c r="S411" s="9"/>
    </row>
    <row r="412" spans="1:19" s="3" customFormat="1" ht="15" thickBot="1">
      <c r="A412" s="762">
        <v>12</v>
      </c>
      <c r="B412" s="762"/>
      <c r="C412" s="425">
        <v>1.253701</v>
      </c>
      <c r="D412" s="741">
        <v>147.899565</v>
      </c>
      <c r="E412" s="763"/>
      <c r="F412" s="445">
        <v>1.247854</v>
      </c>
      <c r="G412" s="741">
        <v>147.30561800000001</v>
      </c>
      <c r="H412" s="763"/>
      <c r="I412" s="465">
        <v>1.247498</v>
      </c>
      <c r="J412" s="741">
        <v>147.16779399999999</v>
      </c>
      <c r="K412" s="763"/>
      <c r="L412" s="485">
        <v>1.244942</v>
      </c>
      <c r="M412" s="741">
        <v>146.96186499999999</v>
      </c>
      <c r="N412" s="763"/>
      <c r="O412" s="37"/>
      <c r="P412" s="37"/>
      <c r="Q412" s="38"/>
      <c r="R412" s="9"/>
      <c r="S412" s="9"/>
    </row>
    <row r="413" spans="1:19" s="3" customFormat="1" ht="15" thickBot="1">
      <c r="A413" s="762">
        <v>13</v>
      </c>
      <c r="B413" s="762"/>
      <c r="C413" s="426">
        <v>1.2443139999999999</v>
      </c>
      <c r="D413" s="741">
        <v>146.79217700000001</v>
      </c>
      <c r="E413" s="763"/>
      <c r="F413" s="446">
        <v>1.249063</v>
      </c>
      <c r="G413" s="741">
        <v>147.44833700000001</v>
      </c>
      <c r="H413" s="763"/>
      <c r="I413" s="466">
        <v>1.2492380000000001</v>
      </c>
      <c r="J413" s="741">
        <v>147.373063</v>
      </c>
      <c r="K413" s="763"/>
      <c r="L413" s="486">
        <v>1.2577910000000001</v>
      </c>
      <c r="M413" s="741">
        <v>148.47865300000001</v>
      </c>
      <c r="N413" s="763"/>
      <c r="O413" s="37"/>
      <c r="P413" s="37"/>
      <c r="Q413" s="38"/>
      <c r="R413" s="9"/>
      <c r="S413" s="9"/>
    </row>
    <row r="414" spans="1:19" s="3" customFormat="1" ht="15" thickBot="1">
      <c r="A414" s="762">
        <v>14</v>
      </c>
      <c r="B414" s="762"/>
      <c r="C414" s="427">
        <v>1.2506900000000001</v>
      </c>
      <c r="D414" s="741">
        <v>147.54435599999999</v>
      </c>
      <c r="E414" s="763"/>
      <c r="F414" s="447">
        <v>1.2457609999999999</v>
      </c>
      <c r="G414" s="741">
        <v>147.05854600000001</v>
      </c>
      <c r="H414" s="763"/>
      <c r="I414" s="467">
        <v>1.2446269999999999</v>
      </c>
      <c r="J414" s="741">
        <v>146.82910100000001</v>
      </c>
      <c r="K414" s="763"/>
      <c r="L414" s="487">
        <v>1.2537199999999999</v>
      </c>
      <c r="M414" s="741">
        <v>147.99808300000001</v>
      </c>
      <c r="N414" s="763"/>
      <c r="O414" s="37"/>
      <c r="P414" s="37"/>
      <c r="Q414" s="38"/>
      <c r="R414" s="9"/>
      <c r="S414" s="9"/>
    </row>
    <row r="415" spans="1:19" s="3" customFormat="1" ht="15" thickBot="1">
      <c r="A415" s="762">
        <v>15</v>
      </c>
      <c r="B415" s="762"/>
      <c r="C415" s="428">
        <v>1.251925</v>
      </c>
      <c r="D415" s="741">
        <v>147.69004899999999</v>
      </c>
      <c r="E415" s="763"/>
      <c r="F415" s="448">
        <v>1.24499</v>
      </c>
      <c r="G415" s="741">
        <v>146.96753100000001</v>
      </c>
      <c r="H415" s="763"/>
      <c r="I415" s="468">
        <v>1.2489779999999999</v>
      </c>
      <c r="J415" s="741">
        <v>147.34239099999999</v>
      </c>
      <c r="K415" s="763"/>
      <c r="L415" s="488">
        <v>1.2488630000000001</v>
      </c>
      <c r="M415" s="741">
        <v>147.42472799999999</v>
      </c>
      <c r="N415" s="763"/>
      <c r="O415" s="37"/>
      <c r="P415" s="37"/>
      <c r="Q415" s="38"/>
      <c r="R415" s="9"/>
      <c r="S415" s="9"/>
    </row>
    <row r="416" spans="1:19" s="3" customFormat="1" ht="15" thickBot="1">
      <c r="A416" s="762">
        <v>16</v>
      </c>
      <c r="B416" s="762"/>
      <c r="C416" s="429">
        <v>1.251015</v>
      </c>
      <c r="D416" s="741">
        <v>147.582696</v>
      </c>
      <c r="E416" s="763"/>
      <c r="F416" s="449">
        <v>1.2534019999999999</v>
      </c>
      <c r="G416" s="741">
        <v>147.960544</v>
      </c>
      <c r="H416" s="763"/>
      <c r="I416" s="469">
        <v>1.2431570000000001</v>
      </c>
      <c r="J416" s="741">
        <v>146.65568500000001</v>
      </c>
      <c r="K416" s="763"/>
      <c r="L416" s="489">
        <v>1.2472319999999999</v>
      </c>
      <c r="M416" s="741">
        <v>147.232193</v>
      </c>
      <c r="N416" s="763"/>
      <c r="O416" s="37"/>
      <c r="P416" s="37"/>
      <c r="Q416" s="38"/>
      <c r="R416" s="9"/>
      <c r="S416" s="9"/>
    </row>
    <row r="417" spans="1:19" s="3" customFormat="1" ht="15" thickBot="1">
      <c r="A417" s="762">
        <v>17</v>
      </c>
      <c r="B417" s="762"/>
      <c r="C417" s="430">
        <v>1.2496480000000001</v>
      </c>
      <c r="D417" s="741">
        <v>147.42143100000001</v>
      </c>
      <c r="E417" s="763"/>
      <c r="F417" s="450">
        <v>1.2512049999999999</v>
      </c>
      <c r="G417" s="741">
        <v>147.70119399999999</v>
      </c>
      <c r="H417" s="763"/>
      <c r="I417" s="470">
        <v>1.2454810000000001</v>
      </c>
      <c r="J417" s="741">
        <v>146.92984799999999</v>
      </c>
      <c r="K417" s="763"/>
      <c r="L417" s="490">
        <v>1.2499400000000001</v>
      </c>
      <c r="M417" s="741">
        <v>147.55186499999999</v>
      </c>
      <c r="N417" s="763"/>
      <c r="O417" s="37"/>
      <c r="P417" s="37"/>
      <c r="Q417" s="38"/>
      <c r="R417" s="9"/>
      <c r="S417" s="9"/>
    </row>
    <row r="418" spans="1:19" s="3" customFormat="1" ht="15" thickBot="1">
      <c r="A418" s="762">
        <v>18</v>
      </c>
      <c r="B418" s="762"/>
      <c r="C418" s="431">
        <v>1.252203</v>
      </c>
      <c r="D418" s="741">
        <v>147.72284500000001</v>
      </c>
      <c r="E418" s="763"/>
      <c r="F418" s="451">
        <v>1.2470939999999999</v>
      </c>
      <c r="G418" s="741">
        <v>147.215903</v>
      </c>
      <c r="H418" s="763"/>
      <c r="I418" s="471">
        <v>1.2477229999999999</v>
      </c>
      <c r="J418" s="741">
        <v>147.19433799999999</v>
      </c>
      <c r="K418" s="763"/>
      <c r="L418" s="491">
        <v>1.2466170000000001</v>
      </c>
      <c r="M418" s="741">
        <v>147.159594</v>
      </c>
      <c r="N418" s="763"/>
      <c r="O418" s="37"/>
      <c r="P418" s="37"/>
      <c r="Q418" s="38"/>
      <c r="R418" s="9"/>
      <c r="S418" s="9"/>
    </row>
    <row r="419" spans="1:19" s="3" customFormat="1" ht="15" thickBot="1">
      <c r="A419" s="762">
        <v>19</v>
      </c>
      <c r="B419" s="762"/>
      <c r="C419" s="432">
        <v>1.2458530000000001</v>
      </c>
      <c r="D419" s="741">
        <v>146.97373300000001</v>
      </c>
      <c r="E419" s="763"/>
      <c r="F419" s="452">
        <v>1.242181</v>
      </c>
      <c r="G419" s="741">
        <v>146.63593700000001</v>
      </c>
      <c r="H419" s="763"/>
      <c r="I419" s="472">
        <v>1.2494289999999999</v>
      </c>
      <c r="J419" s="741">
        <v>147.39559499999999</v>
      </c>
      <c r="K419" s="763"/>
      <c r="L419" s="492">
        <v>1.2485820000000001</v>
      </c>
      <c r="M419" s="741">
        <v>147.39155700000001</v>
      </c>
      <c r="N419" s="763"/>
      <c r="O419" s="37"/>
      <c r="P419" s="37"/>
      <c r="Q419" s="38"/>
      <c r="R419" s="9"/>
      <c r="S419" s="9"/>
    </row>
    <row r="420" spans="1:19" s="3" customFormat="1" ht="15" thickBot="1">
      <c r="A420" s="762">
        <v>20</v>
      </c>
      <c r="B420" s="762"/>
      <c r="C420" s="433">
        <v>1.24777</v>
      </c>
      <c r="D420" s="741">
        <v>147.199882</v>
      </c>
      <c r="E420" s="763"/>
      <c r="F420" s="453">
        <v>1.242129</v>
      </c>
      <c r="G420" s="741">
        <v>146.62979799999999</v>
      </c>
      <c r="H420" s="763"/>
      <c r="I420" s="473">
        <v>1.2493380000000001</v>
      </c>
      <c r="J420" s="741">
        <v>147.38486</v>
      </c>
      <c r="K420" s="763"/>
      <c r="L420" s="493">
        <v>1.251225</v>
      </c>
      <c r="M420" s="741">
        <v>147.70355499999999</v>
      </c>
      <c r="N420" s="763"/>
      <c r="O420" s="37"/>
      <c r="P420" s="37"/>
      <c r="Q420" s="38"/>
      <c r="R420" s="9"/>
      <c r="S420" s="9"/>
    </row>
    <row r="421" spans="1:19" s="3" customFormat="1" ht="15" thickBot="1">
      <c r="A421" s="762" t="s">
        <v>5</v>
      </c>
      <c r="B421" s="762"/>
      <c r="C421" s="21" t="s">
        <v>96</v>
      </c>
      <c r="D421" s="764">
        <f>STDEV(D401:E420)/AVERAGE(D401:E420)</f>
        <v>2.5537831336396653E-3</v>
      </c>
      <c r="E421" s="765"/>
      <c r="F421" s="22" t="s">
        <v>96</v>
      </c>
      <c r="G421" s="764">
        <f>STDEV(G401:H420)/AVERAGE(G401:H420)</f>
        <v>2.6500909240653554E-3</v>
      </c>
      <c r="H421" s="765"/>
      <c r="I421" s="22" t="s">
        <v>96</v>
      </c>
      <c r="J421" s="764">
        <f>STDEV(J401:K420)/AVERAGE(J401:K420)</f>
        <v>2.2525294660255277E-3</v>
      </c>
      <c r="K421" s="765"/>
      <c r="L421" s="6" t="s">
        <v>96</v>
      </c>
      <c r="M421" s="766">
        <f>STDEV(M401:N420)/AVERAGE(M401:N420)</f>
        <v>2.3614524597425517E-3</v>
      </c>
      <c r="N421" s="765"/>
      <c r="O421" s="37"/>
      <c r="P421" s="37"/>
      <c r="Q421" s="38"/>
      <c r="R421" s="9"/>
      <c r="S421" s="9"/>
    </row>
    <row r="422" spans="1:19" s="3" customFormat="1" ht="15" thickBot="1">
      <c r="A422" s="762" t="s">
        <v>102</v>
      </c>
      <c r="B422" s="762"/>
      <c r="C422" s="21" t="s">
        <v>96</v>
      </c>
      <c r="D422" s="767" t="s">
        <v>181</v>
      </c>
      <c r="E422" s="768"/>
      <c r="F422" s="22" t="s">
        <v>96</v>
      </c>
      <c r="G422" s="767" t="s">
        <v>181</v>
      </c>
      <c r="H422" s="768"/>
      <c r="I422" s="22" t="s">
        <v>96</v>
      </c>
      <c r="J422" s="767" t="s">
        <v>181</v>
      </c>
      <c r="K422" s="768"/>
      <c r="L422" s="6" t="s">
        <v>96</v>
      </c>
      <c r="M422" s="769" t="s">
        <v>181</v>
      </c>
      <c r="N422" s="768"/>
      <c r="O422" s="37"/>
      <c r="P422" s="37"/>
      <c r="Q422" s="38"/>
      <c r="R422" s="9"/>
      <c r="S422" s="9"/>
    </row>
    <row r="423" spans="1:19" s="3" customFormat="1" ht="15" thickBot="1">
      <c r="A423" s="762" t="s">
        <v>103</v>
      </c>
      <c r="B423" s="762"/>
      <c r="C423" s="21" t="s">
        <v>96</v>
      </c>
      <c r="D423" s="753">
        <f>AVERAGE(D401:E420)</f>
        <v>147.53940689999999</v>
      </c>
      <c r="E423" s="754"/>
      <c r="F423" s="22" t="s">
        <v>96</v>
      </c>
      <c r="G423" s="753">
        <f>AVERAGE(G401:H420)</f>
        <v>147.17859965</v>
      </c>
      <c r="H423" s="754"/>
      <c r="I423" s="22" t="s">
        <v>96</v>
      </c>
      <c r="J423" s="753">
        <f>AVERAGE(J401:K420)</f>
        <v>147.19329959999999</v>
      </c>
      <c r="K423" s="754"/>
      <c r="L423" s="6" t="s">
        <v>96</v>
      </c>
      <c r="M423" s="753">
        <f>AVERAGE(M401:N420)</f>
        <v>147.50128159999997</v>
      </c>
      <c r="N423" s="754"/>
      <c r="O423" s="37"/>
      <c r="P423" s="37"/>
      <c r="Q423" s="38"/>
      <c r="R423" s="9"/>
      <c r="S423" s="9"/>
    </row>
    <row r="424" spans="1:19" s="3" customFormat="1" ht="15" thickBot="1">
      <c r="A424" s="752" t="s">
        <v>104</v>
      </c>
      <c r="B424" s="752"/>
      <c r="C424" s="21" t="s">
        <v>96</v>
      </c>
      <c r="D424" s="753" t="s">
        <v>351</v>
      </c>
      <c r="E424" s="754"/>
      <c r="F424" s="22" t="s">
        <v>96</v>
      </c>
      <c r="G424" s="753" t="s">
        <v>351</v>
      </c>
      <c r="H424" s="754"/>
      <c r="I424" s="22" t="s">
        <v>96</v>
      </c>
      <c r="J424" s="753" t="s">
        <v>351</v>
      </c>
      <c r="K424" s="754"/>
      <c r="L424" s="6" t="s">
        <v>96</v>
      </c>
      <c r="M424" s="753" t="s">
        <v>351</v>
      </c>
      <c r="N424" s="754"/>
      <c r="O424" s="37"/>
      <c r="P424" s="37"/>
      <c r="Q424" s="38"/>
      <c r="R424" s="9"/>
      <c r="S424" s="9"/>
    </row>
    <row r="425" spans="1:19" s="3" customFormat="1" ht="10.5" customHeight="1">
      <c r="A425" s="752" t="s">
        <v>6</v>
      </c>
      <c r="B425" s="752"/>
      <c r="C425" s="755" t="str">
        <f>IF(AND(D421&lt;=2%, ABS(D423-150)/150 &lt;= 0.05),"Pass","Fail")</f>
        <v>Pass</v>
      </c>
      <c r="D425" s="755"/>
      <c r="E425" s="755"/>
      <c r="F425" s="755" t="str">
        <f>IF(AND(G421&lt;=2%, ABS(G423-150)/150 &lt;= 0.05),"Pass","Fail")</f>
        <v>Pass</v>
      </c>
      <c r="G425" s="755"/>
      <c r="H425" s="755"/>
      <c r="I425" s="755" t="str">
        <f>IF(AND(J421&lt;=2%, ABS(J423-150)/150 &lt;= 0.05),"Pass","Fail")</f>
        <v>Pass</v>
      </c>
      <c r="J425" s="755"/>
      <c r="K425" s="755"/>
      <c r="L425" s="755" t="str">
        <f>IF(AND(M421&lt;=2%, ABS(M423-150)/150 &lt;= 0.05),"Pass","Fail")</f>
        <v>Pass</v>
      </c>
      <c r="M425" s="755"/>
      <c r="N425" s="755"/>
      <c r="O425" s="39"/>
      <c r="P425" s="39"/>
      <c r="Q425" s="40"/>
    </row>
    <row r="426" spans="1:19" s="3" customFormat="1">
      <c r="A426" s="950" t="s">
        <v>374</v>
      </c>
      <c r="B426" s="908"/>
      <c r="C426" s="908"/>
      <c r="D426" s="908"/>
      <c r="E426" s="908"/>
      <c r="F426" s="908"/>
      <c r="G426" s="908"/>
      <c r="H426" s="908"/>
      <c r="I426" s="908"/>
      <c r="J426" s="908"/>
      <c r="K426" s="908"/>
      <c r="L426" s="908"/>
      <c r="M426" s="908"/>
      <c r="N426" s="908"/>
      <c r="O426" s="908"/>
      <c r="P426" s="908"/>
      <c r="Q426" s="908"/>
    </row>
    <row r="427" spans="1:19" s="3" customFormat="1" ht="45.75" customHeight="1">
      <c r="A427" s="793" t="s">
        <v>111</v>
      </c>
      <c r="B427" s="793"/>
      <c r="C427" s="793"/>
      <c r="D427" s="793"/>
      <c r="E427" s="793"/>
      <c r="F427" s="793"/>
      <c r="G427" s="793"/>
      <c r="H427" s="793"/>
      <c r="I427" s="793"/>
      <c r="J427" s="793"/>
      <c r="K427" s="793"/>
      <c r="L427" s="793"/>
      <c r="M427" s="793"/>
      <c r="N427" s="793"/>
      <c r="O427" s="793"/>
      <c r="P427" s="793"/>
      <c r="Q427" s="793"/>
    </row>
    <row r="428" spans="1:19" s="3" customFormat="1">
      <c r="A428" s="949" t="s">
        <v>116</v>
      </c>
      <c r="B428" s="949"/>
      <c r="C428" s="949"/>
      <c r="D428" s="949"/>
      <c r="E428" s="951"/>
      <c r="F428" s="951"/>
      <c r="G428" s="951"/>
      <c r="H428" s="951"/>
      <c r="I428" s="951"/>
      <c r="J428" s="951"/>
      <c r="K428" s="951"/>
      <c r="L428" s="951"/>
      <c r="M428" s="951"/>
      <c r="N428" s="951"/>
      <c r="O428" s="951"/>
      <c r="P428" s="951"/>
      <c r="Q428" s="951"/>
    </row>
    <row r="429" spans="1:19" s="3" customFormat="1">
      <c r="A429" s="723" t="s">
        <v>270</v>
      </c>
      <c r="B429" s="723"/>
      <c r="C429" s="944" t="s">
        <v>112</v>
      </c>
      <c r="D429" s="944"/>
      <c r="E429" s="851" t="s">
        <v>117</v>
      </c>
      <c r="F429" s="851"/>
      <c r="G429" s="851"/>
      <c r="H429" s="851" t="s">
        <v>118</v>
      </c>
      <c r="I429" s="851"/>
      <c r="J429" s="851"/>
      <c r="K429" s="851" t="s">
        <v>119</v>
      </c>
      <c r="L429" s="851"/>
      <c r="M429" s="851" t="s">
        <v>120</v>
      </c>
      <c r="N429" s="851"/>
      <c r="O429" s="851" t="s">
        <v>121</v>
      </c>
      <c r="P429" s="851"/>
      <c r="Q429" s="851"/>
    </row>
    <row r="430" spans="1:19" s="3" customFormat="1" ht="25.5" customHeight="1">
      <c r="A430" s="723"/>
      <c r="B430" s="723"/>
      <c r="C430" s="944" t="s">
        <v>113</v>
      </c>
      <c r="D430" s="944" t="s">
        <v>113</v>
      </c>
      <c r="E430" s="851" t="s">
        <v>412</v>
      </c>
      <c r="F430" s="851"/>
      <c r="G430" s="851"/>
      <c r="H430" s="851" t="s">
        <v>414</v>
      </c>
      <c r="I430" s="851"/>
      <c r="J430" s="851"/>
      <c r="K430" s="851" t="s">
        <v>416</v>
      </c>
      <c r="L430" s="851"/>
      <c r="M430" s="851" t="s">
        <v>418</v>
      </c>
      <c r="N430" s="851"/>
      <c r="O430" s="851" t="s">
        <v>420</v>
      </c>
      <c r="P430" s="851"/>
      <c r="Q430" s="851"/>
    </row>
    <row r="431" spans="1:19" s="3" customFormat="1" ht="25.5" customHeight="1">
      <c r="A431" s="723"/>
      <c r="B431" s="723"/>
      <c r="C431" s="944" t="s">
        <v>386</v>
      </c>
      <c r="D431" s="944" t="s">
        <v>114</v>
      </c>
      <c r="E431" s="741">
        <v>0.83967460000000005</v>
      </c>
      <c r="F431" s="946"/>
      <c r="G431" s="946"/>
      <c r="H431" s="946"/>
      <c r="I431" s="946"/>
      <c r="J431" s="946"/>
      <c r="K431" s="946"/>
      <c r="L431" s="946"/>
      <c r="M431" s="946"/>
      <c r="N431" s="946"/>
      <c r="O431" s="946"/>
      <c r="P431" s="946"/>
      <c r="Q431" s="947"/>
    </row>
    <row r="432" spans="1:19" s="3" customFormat="1" ht="25.5" customHeight="1">
      <c r="A432" s="723" t="s">
        <v>270</v>
      </c>
      <c r="B432" s="723"/>
      <c r="C432" s="944" t="s">
        <v>387</v>
      </c>
      <c r="D432" s="944" t="s">
        <v>115</v>
      </c>
      <c r="E432" s="948" t="s">
        <v>422</v>
      </c>
      <c r="F432" s="946"/>
      <c r="G432" s="946"/>
      <c r="H432" s="946"/>
      <c r="I432" s="946"/>
      <c r="J432" s="946"/>
      <c r="K432" s="946"/>
      <c r="L432" s="946"/>
      <c r="M432" s="946"/>
      <c r="N432" s="946"/>
      <c r="O432" s="946"/>
      <c r="P432" s="946"/>
      <c r="Q432" s="947"/>
    </row>
    <row r="433" spans="1:17" s="3" customFormat="1">
      <c r="A433" s="723"/>
      <c r="B433" s="723"/>
      <c r="C433" s="944" t="s">
        <v>65</v>
      </c>
      <c r="D433" s="944" t="s">
        <v>65</v>
      </c>
      <c r="E433" s="948" t="s">
        <v>388</v>
      </c>
      <c r="F433" s="946"/>
      <c r="G433" s="946"/>
      <c r="H433" s="946"/>
      <c r="I433" s="946"/>
      <c r="J433" s="946"/>
      <c r="K433" s="946"/>
      <c r="L433" s="946"/>
      <c r="M433" s="946"/>
      <c r="N433" s="946"/>
      <c r="O433" s="946"/>
      <c r="P433" s="946"/>
      <c r="Q433" s="947"/>
    </row>
    <row r="434" spans="1:17" s="3" customFormat="1">
      <c r="A434" s="723"/>
      <c r="B434" s="723"/>
      <c r="C434" s="852" t="s">
        <v>6</v>
      </c>
      <c r="D434" s="852"/>
      <c r="E434" s="852" t="str">
        <f>IF(E432&lt;=0.1%,"Pass","Fail")</f>
        <v>Fail</v>
      </c>
      <c r="F434" s="852"/>
      <c r="G434" s="852"/>
      <c r="H434" s="852"/>
      <c r="I434" s="852"/>
      <c r="J434" s="852"/>
      <c r="K434" s="852"/>
      <c r="L434" s="852"/>
      <c r="M434" s="852"/>
      <c r="N434" s="852"/>
      <c r="O434" s="852"/>
      <c r="P434" s="852"/>
      <c r="Q434" s="852"/>
    </row>
    <row r="435" spans="1:17" s="3" customFormat="1">
      <c r="A435" s="723" t="s">
        <v>62</v>
      </c>
      <c r="B435" s="723"/>
      <c r="C435" s="944" t="s">
        <v>112</v>
      </c>
      <c r="D435" s="944"/>
      <c r="E435" s="945" t="s">
        <v>117</v>
      </c>
      <c r="F435" s="945"/>
      <c r="G435" s="945"/>
      <c r="H435" s="945" t="s">
        <v>118</v>
      </c>
      <c r="I435" s="945"/>
      <c r="J435" s="945"/>
      <c r="K435" s="945" t="s">
        <v>119</v>
      </c>
      <c r="L435" s="945"/>
      <c r="M435" s="945" t="s">
        <v>120</v>
      </c>
      <c r="N435" s="945"/>
      <c r="O435" s="945" t="s">
        <v>121</v>
      </c>
      <c r="P435" s="945"/>
      <c r="Q435" s="945"/>
    </row>
    <row r="436" spans="1:17" s="3" customFormat="1" ht="25.5" customHeight="1">
      <c r="A436" s="723"/>
      <c r="B436" s="723"/>
      <c r="C436" s="944" t="s">
        <v>113</v>
      </c>
      <c r="D436" s="944" t="s">
        <v>113</v>
      </c>
      <c r="E436" s="851" t="s">
        <v>413</v>
      </c>
      <c r="F436" s="851"/>
      <c r="G436" s="851"/>
      <c r="H436" s="851" t="s">
        <v>415</v>
      </c>
      <c r="I436" s="851"/>
      <c r="J436" s="851"/>
      <c r="K436" s="851" t="s">
        <v>417</v>
      </c>
      <c r="L436" s="851"/>
      <c r="M436" s="851" t="s">
        <v>419</v>
      </c>
      <c r="N436" s="851"/>
      <c r="O436" s="851" t="s">
        <v>421</v>
      </c>
      <c r="P436" s="851"/>
      <c r="Q436" s="851"/>
    </row>
    <row r="437" spans="1:17" s="3" customFormat="1" ht="25.5" customHeight="1">
      <c r="A437" s="723"/>
      <c r="B437" s="723"/>
      <c r="C437" s="944" t="s">
        <v>114</v>
      </c>
      <c r="D437" s="944" t="s">
        <v>114</v>
      </c>
      <c r="E437" s="741">
        <v>0.89955320000000005</v>
      </c>
      <c r="F437" s="946"/>
      <c r="G437" s="946"/>
      <c r="H437" s="946"/>
      <c r="I437" s="946"/>
      <c r="J437" s="946"/>
      <c r="K437" s="946"/>
      <c r="L437" s="946"/>
      <c r="M437" s="946"/>
      <c r="N437" s="946"/>
      <c r="O437" s="946"/>
      <c r="P437" s="946"/>
      <c r="Q437" s="947"/>
    </row>
    <row r="438" spans="1:17" s="3" customFormat="1" ht="25.5" customHeight="1">
      <c r="A438" s="723"/>
      <c r="B438" s="723"/>
      <c r="C438" s="944" t="s">
        <v>115</v>
      </c>
      <c r="D438" s="944" t="s">
        <v>115</v>
      </c>
      <c r="E438" s="948" t="s">
        <v>423</v>
      </c>
      <c r="F438" s="946"/>
      <c r="G438" s="946"/>
      <c r="H438" s="946"/>
      <c r="I438" s="946"/>
      <c r="J438" s="946"/>
      <c r="K438" s="946"/>
      <c r="L438" s="946"/>
      <c r="M438" s="946"/>
      <c r="N438" s="946"/>
      <c r="O438" s="946"/>
      <c r="P438" s="946"/>
      <c r="Q438" s="947"/>
    </row>
    <row r="439" spans="1:17" s="3" customFormat="1">
      <c r="A439" s="723"/>
      <c r="B439" s="723"/>
      <c r="C439" s="944" t="s">
        <v>65</v>
      </c>
      <c r="D439" s="944" t="s">
        <v>65</v>
      </c>
      <c r="E439" s="948" t="s">
        <v>388</v>
      </c>
      <c r="F439" s="946"/>
      <c r="G439" s="946"/>
      <c r="H439" s="946"/>
      <c r="I439" s="946"/>
      <c r="J439" s="946"/>
      <c r="K439" s="946"/>
      <c r="L439" s="946"/>
      <c r="M439" s="946"/>
      <c r="N439" s="946"/>
      <c r="O439" s="946"/>
      <c r="P439" s="946"/>
      <c r="Q439" s="947"/>
    </row>
    <row r="440" spans="1:17" s="1" customFormat="1">
      <c r="A440" s="723"/>
      <c r="B440" s="723"/>
      <c r="C440" s="852" t="s">
        <v>6</v>
      </c>
      <c r="D440" s="852" t="s">
        <v>6</v>
      </c>
      <c r="E440" s="852" t="str">
        <f>IF(E438&lt;=0.1%,"Pass","Fail")</f>
        <v>Fail</v>
      </c>
      <c r="F440" s="852"/>
      <c r="G440" s="852"/>
      <c r="H440" s="852"/>
      <c r="I440" s="852"/>
      <c r="J440" s="852"/>
      <c r="K440" s="852"/>
      <c r="L440" s="852"/>
      <c r="M440" s="852"/>
      <c r="N440" s="852"/>
      <c r="O440" s="852"/>
      <c r="P440" s="852"/>
      <c r="Q440" s="852"/>
    </row>
    <row r="441" spans="1:17" s="3" customFormat="1" ht="12" customHeight="1">
      <c r="A441" s="850" t="s">
        <v>344</v>
      </c>
      <c r="B441" s="850"/>
      <c r="C441" s="850"/>
      <c r="D441" s="850"/>
      <c r="E441" s="850"/>
      <c r="F441" s="850"/>
      <c r="G441" s="850"/>
      <c r="H441" s="850"/>
      <c r="I441" s="850"/>
      <c r="J441" s="850"/>
      <c r="K441" s="850"/>
      <c r="L441" s="850"/>
      <c r="M441" s="850"/>
      <c r="N441" s="850"/>
      <c r="O441" s="850"/>
      <c r="P441" s="850"/>
      <c r="Q441" s="850"/>
    </row>
    <row r="442" spans="1:17" s="1" customFormat="1">
      <c r="A442" s="873" t="s">
        <v>375</v>
      </c>
      <c r="B442" s="873"/>
      <c r="C442" s="873"/>
      <c r="D442" s="873"/>
      <c r="E442" s="873"/>
      <c r="F442" s="873"/>
      <c r="G442" s="873"/>
      <c r="H442" s="873"/>
      <c r="I442" s="873"/>
      <c r="J442" s="873"/>
      <c r="K442" s="873"/>
      <c r="L442" s="873"/>
      <c r="M442" s="873"/>
      <c r="N442" s="873"/>
      <c r="O442" s="873"/>
      <c r="P442" s="873"/>
      <c r="Q442" s="873"/>
    </row>
    <row r="443" spans="1:17" s="1" customFormat="1" ht="14.5" customHeight="1">
      <c r="A443" s="850" t="s">
        <v>122</v>
      </c>
      <c r="B443" s="850"/>
      <c r="C443" s="850"/>
      <c r="D443" s="850"/>
      <c r="E443" s="850"/>
      <c r="F443" s="850"/>
      <c r="G443" s="850"/>
      <c r="H443" s="850"/>
      <c r="I443" s="850"/>
      <c r="J443" s="850"/>
      <c r="K443" s="850"/>
      <c r="L443" s="850"/>
      <c r="M443" s="850"/>
      <c r="N443" s="850"/>
      <c r="O443" s="850"/>
      <c r="P443" s="850"/>
      <c r="Q443" s="850"/>
    </row>
    <row r="444" spans="1:17" s="1" customFormat="1" ht="14.5" customHeight="1">
      <c r="A444" s="860" t="s">
        <v>123</v>
      </c>
      <c r="B444" s="860"/>
      <c r="C444" s="860"/>
      <c r="D444" s="860"/>
      <c r="E444" s="860"/>
      <c r="F444" s="860"/>
      <c r="G444" s="860"/>
      <c r="H444" s="860"/>
      <c r="I444" s="860"/>
      <c r="J444" s="860"/>
      <c r="K444" s="860"/>
      <c r="L444" s="860"/>
      <c r="M444" s="860"/>
      <c r="N444" s="860"/>
      <c r="O444" s="860"/>
      <c r="P444" s="860"/>
      <c r="Q444" s="860"/>
    </row>
    <row r="445" spans="1:17" s="1" customFormat="1" ht="14.5" customHeight="1">
      <c r="A445" s="954" t="s">
        <v>124</v>
      </c>
      <c r="B445" s="954"/>
      <c r="C445" s="954"/>
      <c r="D445" s="954"/>
      <c r="E445" s="954"/>
      <c r="F445" s="954"/>
      <c r="G445" s="954"/>
      <c r="H445" s="954"/>
      <c r="I445" s="954"/>
      <c r="J445" s="954"/>
      <c r="K445" s="954"/>
      <c r="L445" s="954"/>
      <c r="M445" s="954"/>
      <c r="N445" s="954"/>
      <c r="O445" s="954"/>
      <c r="P445" s="954"/>
      <c r="Q445" s="954"/>
    </row>
    <row r="446" spans="1:17" s="1" customFormat="1">
      <c r="A446" s="954" t="s">
        <v>125</v>
      </c>
      <c r="B446" s="954"/>
      <c r="C446" s="954"/>
      <c r="D446" s="954"/>
      <c r="E446" s="954"/>
      <c r="F446" s="874"/>
      <c r="G446" s="875"/>
      <c r="H446" s="875"/>
      <c r="I446" s="875"/>
      <c r="J446" s="875"/>
      <c r="K446" s="875"/>
      <c r="L446" s="875"/>
      <c r="M446" s="875"/>
      <c r="N446" s="875"/>
      <c r="O446" s="875"/>
      <c r="P446" s="875"/>
      <c r="Q446" s="876"/>
    </row>
    <row r="447" spans="1:17" s="1" customFormat="1" ht="18.75" customHeight="1">
      <c r="A447" s="854" t="s">
        <v>126</v>
      </c>
      <c r="B447" s="855"/>
      <c r="C447" s="855"/>
      <c r="D447" s="856"/>
      <c r="E447" s="742" t="s">
        <v>136</v>
      </c>
      <c r="F447" s="742"/>
      <c r="G447" s="742"/>
      <c r="H447" s="742"/>
      <c r="I447" s="742"/>
      <c r="J447" s="742"/>
      <c r="K447" s="742"/>
      <c r="L447" s="742"/>
      <c r="M447" s="742"/>
      <c r="N447" s="742"/>
      <c r="O447" s="742"/>
      <c r="P447" s="742"/>
      <c r="Q447" s="742"/>
    </row>
    <row r="448" spans="1:17" s="1" customFormat="1" ht="19.5" customHeight="1">
      <c r="A448" s="857" t="s">
        <v>127</v>
      </c>
      <c r="B448" s="857"/>
      <c r="C448" s="857"/>
      <c r="D448" s="857"/>
      <c r="E448" s="714"/>
      <c r="F448" s="714"/>
      <c r="G448" s="714"/>
      <c r="H448" s="714"/>
      <c r="I448" s="714"/>
      <c r="J448" s="714"/>
      <c r="K448" s="714"/>
      <c r="L448" s="714"/>
      <c r="M448" s="714"/>
      <c r="N448" s="714"/>
      <c r="O448" s="714"/>
      <c r="P448" s="714"/>
      <c r="Q448" s="714"/>
    </row>
    <row r="449" spans="1:17" s="1" customFormat="1" ht="17.25" customHeight="1">
      <c r="A449" s="857" t="s">
        <v>128</v>
      </c>
      <c r="B449" s="857"/>
      <c r="C449" s="857"/>
      <c r="D449" s="857"/>
      <c r="E449" s="714"/>
      <c r="F449" s="714"/>
      <c r="G449" s="714"/>
      <c r="H449" s="714"/>
      <c r="I449" s="714"/>
      <c r="J449" s="714"/>
      <c r="K449" s="714"/>
      <c r="L449" s="714"/>
      <c r="M449" s="714"/>
      <c r="N449" s="714"/>
      <c r="O449" s="714"/>
      <c r="P449" s="714"/>
      <c r="Q449" s="714"/>
    </row>
    <row r="450" spans="1:17" s="1" customFormat="1" ht="17.25" customHeight="1">
      <c r="A450" s="959" t="s">
        <v>129</v>
      </c>
      <c r="B450" s="960"/>
      <c r="C450" s="960"/>
      <c r="D450" s="961"/>
      <c r="E450" s="716"/>
      <c r="F450" s="718"/>
      <c r="G450" s="717"/>
      <c r="H450" s="716"/>
      <c r="I450" s="718"/>
      <c r="J450" s="717"/>
      <c r="K450" s="716"/>
      <c r="L450" s="717"/>
      <c r="M450" s="716"/>
      <c r="N450" s="717"/>
      <c r="O450" s="716"/>
      <c r="P450" s="718"/>
      <c r="Q450" s="717"/>
    </row>
    <row r="451" spans="1:17" s="1" customFormat="1" ht="22.5" customHeight="1">
      <c r="A451" s="857" t="s">
        <v>130</v>
      </c>
      <c r="B451" s="857"/>
      <c r="C451" s="857"/>
      <c r="D451" s="857"/>
      <c r="E451" s="716"/>
      <c r="F451" s="718"/>
      <c r="G451" s="717"/>
      <c r="H451" s="716"/>
      <c r="I451" s="718"/>
      <c r="J451" s="717"/>
      <c r="K451" s="716"/>
      <c r="L451" s="717"/>
      <c r="M451" s="716"/>
      <c r="N451" s="717"/>
      <c r="O451" s="716"/>
      <c r="P451" s="718"/>
      <c r="Q451" s="717"/>
    </row>
    <row r="452" spans="1:17" s="1" customFormat="1">
      <c r="A452" s="857" t="s">
        <v>86</v>
      </c>
      <c r="B452" s="857"/>
      <c r="C452" s="857"/>
      <c r="D452" s="857"/>
      <c r="E452" s="904" t="e">
        <f>AVERAGE(E448:Q451)</f>
        <v>#DIV/0!</v>
      </c>
      <c r="F452" s="904"/>
      <c r="G452" s="904"/>
      <c r="H452" s="904"/>
      <c r="I452" s="904"/>
      <c r="J452" s="904"/>
      <c r="K452" s="904"/>
      <c r="L452" s="904"/>
      <c r="M452" s="904"/>
      <c r="N452" s="904"/>
      <c r="O452" s="904"/>
      <c r="P452" s="904"/>
      <c r="Q452" s="904"/>
    </row>
    <row r="453" spans="1:17" s="1" customFormat="1">
      <c r="A453" s="962" t="s">
        <v>131</v>
      </c>
      <c r="B453" s="962"/>
      <c r="C453" s="962"/>
      <c r="D453" s="962"/>
      <c r="E453" s="742">
        <f>(MAX(E448:Q451)-MIN(E448:Q451))/2</f>
        <v>0</v>
      </c>
      <c r="F453" s="742"/>
      <c r="G453" s="742"/>
      <c r="H453" s="742"/>
      <c r="I453" s="742"/>
      <c r="J453" s="742"/>
      <c r="K453" s="742"/>
      <c r="L453" s="742"/>
      <c r="M453" s="742"/>
      <c r="N453" s="742"/>
      <c r="O453" s="742"/>
      <c r="P453" s="742"/>
      <c r="Q453" s="742"/>
    </row>
    <row r="454" spans="1:17" s="1" customFormat="1">
      <c r="A454" s="857" t="s">
        <v>132</v>
      </c>
      <c r="B454" s="857"/>
      <c r="C454" s="857"/>
      <c r="D454" s="857"/>
      <c r="E454" s="956" t="s">
        <v>134</v>
      </c>
      <c r="F454" s="956"/>
      <c r="G454" s="956"/>
      <c r="H454" s="956"/>
      <c r="I454" s="956"/>
      <c r="J454" s="956"/>
      <c r="K454" s="956"/>
      <c r="L454" s="956"/>
      <c r="M454" s="956"/>
      <c r="N454" s="956"/>
      <c r="O454" s="956"/>
      <c r="P454" s="956"/>
      <c r="Q454" s="956"/>
    </row>
    <row r="455" spans="1:17" s="1" customFormat="1">
      <c r="A455" s="857"/>
      <c r="B455" s="857"/>
      <c r="C455" s="857"/>
      <c r="D455" s="857"/>
      <c r="E455" s="956" t="s">
        <v>135</v>
      </c>
      <c r="F455" s="956"/>
      <c r="G455" s="956"/>
      <c r="H455" s="956"/>
      <c r="I455" s="956"/>
      <c r="J455" s="956"/>
      <c r="K455" s="956"/>
      <c r="L455" s="956"/>
      <c r="M455" s="956"/>
      <c r="N455" s="956"/>
      <c r="O455" s="956"/>
      <c r="P455" s="956"/>
      <c r="Q455" s="956"/>
    </row>
    <row r="456" spans="1:17" s="1" customFormat="1">
      <c r="A456" s="853" t="s">
        <v>6</v>
      </c>
      <c r="B456" s="853"/>
      <c r="C456" s="853"/>
      <c r="D456" s="853"/>
      <c r="E456" s="742" t="str">
        <f>IF(AND(COUNTIF(E452, "&lt;=37.3"), COUNTIF(E452, "&gt;=36.7"), COUNTIF(E453, "&lt;=0.1") ),"Pass","Fail")</f>
        <v>Fail</v>
      </c>
      <c r="F456" s="742"/>
      <c r="G456" s="742"/>
      <c r="H456" s="742"/>
      <c r="I456" s="742"/>
      <c r="J456" s="742"/>
      <c r="K456" s="742"/>
      <c r="L456" s="742"/>
      <c r="M456" s="742"/>
      <c r="N456" s="742"/>
      <c r="O456" s="742"/>
      <c r="P456" s="742"/>
      <c r="Q456" s="742"/>
    </row>
    <row r="457" spans="1:17" s="1" customFormat="1" ht="25.5" customHeight="1">
      <c r="A457" s="955" t="s">
        <v>133</v>
      </c>
      <c r="B457" s="955"/>
      <c r="C457" s="955"/>
      <c r="D457" s="955"/>
      <c r="E457" s="955"/>
      <c r="F457" s="955"/>
      <c r="G457" s="955"/>
      <c r="H457" s="955"/>
      <c r="I457" s="955"/>
      <c r="J457" s="955"/>
      <c r="K457" s="955"/>
      <c r="L457" s="955"/>
      <c r="M457" s="955"/>
      <c r="N457" s="955"/>
      <c r="O457" s="955"/>
      <c r="P457" s="955"/>
      <c r="Q457" s="955"/>
    </row>
    <row r="458" spans="1:17" s="1" customFormat="1" ht="25.5" customHeight="1">
      <c r="A458" s="955"/>
      <c r="B458" s="955"/>
      <c r="C458" s="955"/>
      <c r="D458" s="955"/>
      <c r="E458" s="955"/>
      <c r="F458" s="955"/>
      <c r="G458" s="955"/>
      <c r="H458" s="955"/>
      <c r="I458" s="955"/>
      <c r="J458" s="955"/>
      <c r="K458" s="955"/>
      <c r="L458" s="955"/>
      <c r="M458" s="955"/>
      <c r="N458" s="955"/>
      <c r="O458" s="955"/>
      <c r="P458" s="955"/>
      <c r="Q458" s="955"/>
    </row>
    <row r="459" spans="1:17" s="1" customFormat="1" ht="25.5" customHeight="1">
      <c r="A459" s="955"/>
      <c r="B459" s="955"/>
      <c r="C459" s="955"/>
      <c r="D459" s="955"/>
      <c r="E459" s="955"/>
      <c r="F459" s="955"/>
      <c r="G459" s="955"/>
      <c r="H459" s="955"/>
      <c r="I459" s="955"/>
      <c r="J459" s="955"/>
      <c r="K459" s="955"/>
      <c r="L459" s="955"/>
      <c r="M459" s="955"/>
      <c r="N459" s="955"/>
      <c r="O459" s="955"/>
      <c r="P459" s="955"/>
      <c r="Q459" s="955"/>
    </row>
    <row r="460" spans="1:17" s="1" customFormat="1" ht="25.5" customHeight="1">
      <c r="A460" s="955"/>
      <c r="B460" s="955"/>
      <c r="C460" s="955"/>
      <c r="D460" s="955"/>
      <c r="E460" s="955"/>
      <c r="F460" s="955"/>
      <c r="G460" s="955"/>
      <c r="H460" s="955"/>
      <c r="I460" s="955"/>
      <c r="J460" s="955"/>
      <c r="K460" s="955"/>
      <c r="L460" s="955"/>
      <c r="M460" s="955"/>
      <c r="N460" s="955"/>
      <c r="O460" s="955"/>
      <c r="P460" s="955"/>
      <c r="Q460" s="955"/>
    </row>
    <row r="461" spans="1:17" s="1" customFormat="1" ht="25.5" customHeight="1">
      <c r="A461" s="955"/>
      <c r="B461" s="955"/>
      <c r="C461" s="955"/>
      <c r="D461" s="955"/>
      <c r="E461" s="955"/>
      <c r="F461" s="955"/>
      <c r="G461" s="955"/>
      <c r="H461" s="955"/>
      <c r="I461" s="955"/>
      <c r="J461" s="955"/>
      <c r="K461" s="955"/>
      <c r="L461" s="955"/>
      <c r="M461" s="955"/>
      <c r="N461" s="955"/>
      <c r="O461" s="955"/>
      <c r="P461" s="955"/>
      <c r="Q461" s="955"/>
    </row>
    <row r="462" spans="1:17" s="1" customFormat="1" ht="25.5" customHeight="1">
      <c r="A462" s="955"/>
      <c r="B462" s="955"/>
      <c r="C462" s="955"/>
      <c r="D462" s="955"/>
      <c r="E462" s="955"/>
      <c r="F462" s="955"/>
      <c r="G462" s="955"/>
      <c r="H462" s="955"/>
      <c r="I462" s="955"/>
      <c r="J462" s="955"/>
      <c r="K462" s="955"/>
      <c r="L462" s="955"/>
      <c r="M462" s="955"/>
      <c r="N462" s="955"/>
      <c r="O462" s="955"/>
      <c r="P462" s="955"/>
      <c r="Q462" s="955"/>
    </row>
    <row r="463" spans="1:17" s="1" customFormat="1" ht="25.5" customHeight="1">
      <c r="A463" s="955"/>
      <c r="B463" s="955"/>
      <c r="C463" s="955"/>
      <c r="D463" s="955"/>
      <c r="E463" s="955"/>
      <c r="F463" s="955"/>
      <c r="G463" s="955"/>
      <c r="H463" s="955"/>
      <c r="I463" s="955"/>
      <c r="J463" s="955"/>
      <c r="K463" s="955"/>
      <c r="L463" s="955"/>
      <c r="M463" s="955"/>
      <c r="N463" s="955"/>
      <c r="O463" s="955"/>
      <c r="P463" s="955"/>
      <c r="Q463" s="955"/>
    </row>
    <row r="464" spans="1:17" s="1" customFormat="1" ht="31.5" customHeight="1">
      <c r="A464" s="803" t="s">
        <v>379</v>
      </c>
      <c r="B464" s="803"/>
      <c r="C464" s="803"/>
      <c r="D464" s="803"/>
      <c r="E464" s="803"/>
      <c r="F464" s="803"/>
      <c r="G464" s="803"/>
      <c r="H464" s="803"/>
      <c r="I464" s="803"/>
      <c r="J464" s="803"/>
      <c r="K464" s="803"/>
      <c r="L464" s="803"/>
      <c r="M464" s="803"/>
      <c r="N464" s="803"/>
      <c r="O464" s="803"/>
      <c r="P464" s="803"/>
      <c r="Q464" s="803"/>
    </row>
    <row r="465" spans="1:19" ht="14.5">
      <c r="A465" s="957" t="s">
        <v>376</v>
      </c>
      <c r="B465" s="859"/>
      <c r="C465" s="859"/>
      <c r="D465" s="859"/>
      <c r="E465" s="859"/>
      <c r="F465" s="859"/>
      <c r="G465" s="859"/>
      <c r="H465" s="859"/>
      <c r="I465" s="859"/>
      <c r="J465" s="859"/>
      <c r="K465" s="859"/>
      <c r="L465" s="859"/>
      <c r="M465" s="859"/>
      <c r="N465" s="859"/>
      <c r="O465" s="859"/>
      <c r="P465" s="859"/>
      <c r="Q465" s="859"/>
    </row>
    <row r="466" spans="1:19" s="1" customFormat="1" ht="14.5">
      <c r="A466" s="793" t="s">
        <v>137</v>
      </c>
      <c r="B466" s="793"/>
      <c r="C466" s="793"/>
      <c r="D466" s="793"/>
      <c r="E466" s="793"/>
      <c r="F466" s="793"/>
      <c r="G466" s="793"/>
      <c r="H466" s="793"/>
      <c r="I466" s="793"/>
      <c r="J466" s="958"/>
      <c r="K466" s="958"/>
      <c r="L466" s="958"/>
      <c r="M466" s="793"/>
      <c r="N466" s="793"/>
      <c r="O466" s="793"/>
      <c r="P466" s="793"/>
      <c r="Q466" s="793"/>
    </row>
    <row r="467" spans="1:19" ht="14.25" customHeight="1">
      <c r="A467" s="760" t="s">
        <v>247</v>
      </c>
      <c r="B467" s="761"/>
      <c r="C467" s="761"/>
      <c r="D467" s="761"/>
      <c r="E467" s="761"/>
      <c r="F467" s="761"/>
      <c r="G467" s="761"/>
      <c r="H467" s="761"/>
      <c r="I467" s="761"/>
      <c r="J467" s="75"/>
      <c r="K467" s="34"/>
      <c r="L467" s="34"/>
      <c r="M467" s="34"/>
      <c r="N467" s="34"/>
      <c r="O467" s="34"/>
      <c r="P467" s="26"/>
      <c r="Q467" s="27"/>
    </row>
    <row r="468" spans="1:19" ht="14.25" customHeight="1">
      <c r="A468" s="758" t="s">
        <v>148</v>
      </c>
      <c r="B468" s="759"/>
      <c r="C468" s="759"/>
      <c r="D468" s="759"/>
      <c r="E468" s="759"/>
      <c r="F468" s="759"/>
      <c r="G468" s="759"/>
      <c r="H468" s="759"/>
      <c r="I468" s="759"/>
      <c r="J468" s="82"/>
      <c r="K468" s="73"/>
      <c r="L468" s="73"/>
      <c r="M468" s="16"/>
      <c r="N468" s="16"/>
      <c r="O468" s="16"/>
      <c r="P468" s="29"/>
      <c r="Q468" s="30"/>
    </row>
    <row r="469" spans="1:19" ht="11.25" customHeight="1">
      <c r="A469" s="63" t="s">
        <v>150</v>
      </c>
      <c r="B469" s="72" t="s">
        <v>242</v>
      </c>
      <c r="C469" s="64" t="s">
        <v>266</v>
      </c>
      <c r="D469" s="65" t="s">
        <v>243</v>
      </c>
      <c r="E469" s="63" t="s">
        <v>244</v>
      </c>
      <c r="F469" s="72" t="s">
        <v>245</v>
      </c>
      <c r="G469" s="72" t="s">
        <v>320</v>
      </c>
      <c r="H469" s="65" t="s">
        <v>246</v>
      </c>
      <c r="I469" s="72" t="s">
        <v>321</v>
      </c>
      <c r="J469" s="83"/>
      <c r="K469" s="29"/>
      <c r="L469" s="29"/>
      <c r="M469" s="29"/>
      <c r="N469" s="29"/>
      <c r="O469" s="29"/>
      <c r="P469" s="29"/>
      <c r="Q469" s="29"/>
      <c r="R469" s="1"/>
      <c r="S469" s="1"/>
    </row>
    <row r="470" spans="1:19" ht="18.75" customHeight="1">
      <c r="A470" s="66" t="s">
        <v>197</v>
      </c>
      <c r="B470" s="70" t="s">
        <v>249</v>
      </c>
      <c r="C470" s="62" t="s">
        <v>249</v>
      </c>
      <c r="D470" s="62" t="s">
        <v>249</v>
      </c>
      <c r="E470" s="62" t="s">
        <v>250</v>
      </c>
      <c r="F470" s="70" t="s">
        <v>250</v>
      </c>
      <c r="G470" s="70" t="s">
        <v>251</v>
      </c>
      <c r="H470" s="62" t="s">
        <v>258</v>
      </c>
      <c r="I470" s="76" t="s">
        <v>258</v>
      </c>
      <c r="J470" s="84"/>
      <c r="K470" s="29"/>
      <c r="L470" s="29"/>
      <c r="M470" s="29"/>
      <c r="N470" s="29"/>
      <c r="O470" s="29"/>
      <c r="P470" s="29"/>
      <c r="Q470" s="29"/>
      <c r="R470" s="1"/>
      <c r="S470" s="1"/>
    </row>
    <row r="471" spans="1:19">
      <c r="A471" s="10">
        <v>1</v>
      </c>
      <c r="B471" s="70"/>
      <c r="C471" s="494">
        <v>47.589851785592003</v>
      </c>
      <c r="D471" s="514">
        <v>168.53368701068001</v>
      </c>
      <c r="E471" s="534">
        <v>1.2815163460961601</v>
      </c>
      <c r="F471" s="70"/>
      <c r="G471" s="70"/>
      <c r="H471" s="554">
        <v>2.17193635567279</v>
      </c>
      <c r="I471" s="77"/>
      <c r="J471" s="84"/>
      <c r="K471" s="29"/>
      <c r="L471" s="29"/>
      <c r="M471" s="29"/>
      <c r="N471" s="29"/>
      <c r="O471" s="29"/>
      <c r="P471" s="29"/>
      <c r="Q471" s="29"/>
      <c r="R471" s="1"/>
      <c r="S471" s="1"/>
    </row>
    <row r="472" spans="1:19">
      <c r="A472" s="10">
        <v>2</v>
      </c>
      <c r="B472" s="70"/>
      <c r="C472" s="495">
        <v>47.852366991978499</v>
      </c>
      <c r="D472" s="515">
        <v>168.36115452032601</v>
      </c>
      <c r="E472" s="535">
        <v>1.2878227568334399</v>
      </c>
      <c r="F472" s="70"/>
      <c r="G472" s="70"/>
      <c r="H472" s="555">
        <v>2.1797934127068501</v>
      </c>
      <c r="I472" s="77"/>
      <c r="J472" s="84"/>
      <c r="K472" s="29"/>
      <c r="L472" s="29"/>
      <c r="M472" s="29"/>
      <c r="N472" s="29"/>
      <c r="O472" s="29"/>
      <c r="P472" s="29"/>
      <c r="Q472" s="29"/>
      <c r="R472" s="1"/>
      <c r="S472" s="1"/>
    </row>
    <row r="473" spans="1:19">
      <c r="A473" s="10">
        <v>3</v>
      </c>
      <c r="B473" s="70"/>
      <c r="C473" s="496">
        <v>47.3954708081801</v>
      </c>
      <c r="D473" s="516">
        <v>168.349265359757</v>
      </c>
      <c r="E473" s="536">
        <v>1.2892705394280399</v>
      </c>
      <c r="F473" s="70"/>
      <c r="G473" s="70"/>
      <c r="H473" s="556">
        <v>2.1599058579091799</v>
      </c>
      <c r="I473" s="77"/>
      <c r="J473" s="84"/>
      <c r="K473" s="29"/>
      <c r="L473" s="29"/>
      <c r="M473" s="29"/>
      <c r="N473" s="29"/>
      <c r="O473" s="29"/>
      <c r="P473" s="29"/>
      <c r="Q473" s="29"/>
      <c r="R473" s="1"/>
      <c r="S473" s="1"/>
    </row>
    <row r="474" spans="1:19">
      <c r="A474" s="10">
        <v>4</v>
      </c>
      <c r="B474" s="70"/>
      <c r="C474" s="497">
        <v>48.0559816747814</v>
      </c>
      <c r="D474" s="517">
        <v>168.85268053716399</v>
      </c>
      <c r="E474" s="537">
        <v>1.2881097852079499</v>
      </c>
      <c r="F474" s="70"/>
      <c r="G474" s="70"/>
      <c r="H474" s="557">
        <v>2.1691884596831401</v>
      </c>
      <c r="I474" s="77"/>
      <c r="J474" s="84"/>
      <c r="K474" s="29"/>
      <c r="L474" s="29"/>
      <c r="M474" s="29"/>
      <c r="N474" s="29"/>
      <c r="O474" s="29"/>
      <c r="P474" s="29"/>
      <c r="Q474" s="29"/>
      <c r="R474" s="1"/>
      <c r="S474" s="1"/>
    </row>
    <row r="475" spans="1:19">
      <c r="A475" s="10">
        <v>5</v>
      </c>
      <c r="B475" s="70"/>
      <c r="C475" s="498">
        <v>48.158589874678597</v>
      </c>
      <c r="D475" s="518">
        <v>168.42524556521801</v>
      </c>
      <c r="E475" s="538">
        <v>1.28134224760084</v>
      </c>
      <c r="F475" s="70"/>
      <c r="G475" s="70"/>
      <c r="H475" s="558">
        <v>2.1797456284208598</v>
      </c>
      <c r="I475" s="77"/>
      <c r="J475" s="84"/>
      <c r="K475" s="29"/>
      <c r="L475" s="29"/>
      <c r="M475" s="29"/>
      <c r="N475" s="29"/>
      <c r="O475" s="29"/>
      <c r="P475" s="29"/>
      <c r="Q475" s="29"/>
      <c r="R475" s="1"/>
      <c r="S475" s="1"/>
    </row>
    <row r="476" spans="1:19">
      <c r="A476" s="10">
        <v>6</v>
      </c>
      <c r="B476" s="70"/>
      <c r="C476" s="499">
        <v>47.841452067808603</v>
      </c>
      <c r="D476" s="519">
        <v>168.90229191071199</v>
      </c>
      <c r="E476" s="539">
        <v>1.2708393010113701</v>
      </c>
      <c r="F476" s="70"/>
      <c r="G476" s="70"/>
      <c r="H476" s="559">
        <v>2.1979355058657601</v>
      </c>
      <c r="I476" s="77"/>
      <c r="J476" s="84"/>
      <c r="K476" s="29"/>
      <c r="L476" s="29"/>
      <c r="M476" s="29"/>
      <c r="N476" s="29"/>
      <c r="O476" s="29"/>
      <c r="P476" s="29"/>
      <c r="Q476" s="29"/>
      <c r="R476" s="1"/>
      <c r="S476" s="1"/>
    </row>
    <row r="477" spans="1:19">
      <c r="A477" s="10">
        <v>7</v>
      </c>
      <c r="B477" s="70"/>
      <c r="C477" s="500">
        <v>47.837811276043702</v>
      </c>
      <c r="D477" s="520">
        <v>167.60902526330599</v>
      </c>
      <c r="E477" s="540">
        <v>1.2771529067020999</v>
      </c>
      <c r="F477" s="70"/>
      <c r="G477" s="70"/>
      <c r="H477" s="560">
        <v>2.2067252556188799</v>
      </c>
      <c r="I477" s="77"/>
      <c r="J477" s="84"/>
      <c r="K477" s="29"/>
      <c r="L477" s="29"/>
      <c r="M477" s="29"/>
      <c r="N477" s="29"/>
      <c r="O477" s="29"/>
      <c r="P477" s="29"/>
      <c r="Q477" s="29"/>
      <c r="R477" s="1"/>
      <c r="S477" s="1"/>
    </row>
    <row r="478" spans="1:19">
      <c r="A478" s="10">
        <v>8</v>
      </c>
      <c r="B478" s="70"/>
      <c r="C478" s="501">
        <v>47.112358004332997</v>
      </c>
      <c r="D478" s="521">
        <v>168.809386129525</v>
      </c>
      <c r="E478" s="541">
        <v>1.2822053701388201</v>
      </c>
      <c r="F478" s="70"/>
      <c r="G478" s="70"/>
      <c r="H478" s="561">
        <v>2.1747231781369698</v>
      </c>
      <c r="I478" s="77"/>
      <c r="J478" s="84"/>
      <c r="K478" s="29"/>
      <c r="L478" s="29"/>
      <c r="M478" s="29"/>
      <c r="N478" s="29"/>
      <c r="O478" s="29"/>
      <c r="P478" s="29"/>
      <c r="Q478" s="29"/>
      <c r="R478" s="1"/>
      <c r="S478" s="1"/>
    </row>
    <row r="479" spans="1:19">
      <c r="A479" s="10">
        <v>9</v>
      </c>
      <c r="B479" s="70"/>
      <c r="C479" s="502">
        <v>47.466020422749999</v>
      </c>
      <c r="D479" s="522">
        <v>169.114584032934</v>
      </c>
      <c r="E479" s="542">
        <v>1.2791705797167201</v>
      </c>
      <c r="F479" s="70"/>
      <c r="G479" s="70"/>
      <c r="H479" s="562">
        <v>2.1713439342921599</v>
      </c>
      <c r="I479" s="77"/>
      <c r="J479" s="84"/>
      <c r="K479" s="29"/>
      <c r="L479" s="29"/>
      <c r="M479" s="29"/>
      <c r="N479" s="29"/>
      <c r="O479" s="29"/>
      <c r="P479" s="29"/>
      <c r="Q479" s="29"/>
      <c r="R479" s="1"/>
      <c r="S479" s="1"/>
    </row>
    <row r="480" spans="1:19">
      <c r="A480" s="10">
        <v>10</v>
      </c>
      <c r="B480" s="70"/>
      <c r="C480" s="503">
        <v>47.6198186644977</v>
      </c>
      <c r="D480" s="523">
        <v>167.86560392715501</v>
      </c>
      <c r="E480" s="543">
        <v>1.26488228099081</v>
      </c>
      <c r="F480" s="70"/>
      <c r="G480" s="70"/>
      <c r="H480" s="563">
        <v>2.1717311069330401</v>
      </c>
      <c r="I480" s="77"/>
      <c r="J480" s="84"/>
      <c r="K480" s="29"/>
      <c r="L480" s="29"/>
      <c r="M480" s="29"/>
      <c r="N480" s="29"/>
      <c r="O480" s="29"/>
      <c r="P480" s="29"/>
      <c r="Q480" s="29"/>
      <c r="R480" s="1"/>
      <c r="S480" s="1"/>
    </row>
    <row r="481" spans="1:19">
      <c r="A481" s="10">
        <v>11</v>
      </c>
      <c r="B481" s="70"/>
      <c r="C481" s="504">
        <v>47.849394483500802</v>
      </c>
      <c r="D481" s="524">
        <v>169.56697741026599</v>
      </c>
      <c r="E481" s="544">
        <v>1.27846843007163</v>
      </c>
      <c r="F481" s="70"/>
      <c r="G481" s="70"/>
      <c r="H481" s="564">
        <v>2.18819855668943</v>
      </c>
      <c r="I481" s="77"/>
      <c r="J481" s="84"/>
      <c r="K481" s="29"/>
      <c r="L481" s="29"/>
      <c r="M481" s="29"/>
      <c r="N481" s="29"/>
      <c r="O481" s="29"/>
      <c r="P481" s="29"/>
      <c r="Q481" s="29"/>
      <c r="R481" s="1"/>
      <c r="S481" s="1"/>
    </row>
    <row r="482" spans="1:19">
      <c r="A482" s="10">
        <v>12</v>
      </c>
      <c r="B482" s="70"/>
      <c r="C482" s="505">
        <v>47.764575657391099</v>
      </c>
      <c r="D482" s="525">
        <v>167.43001562431701</v>
      </c>
      <c r="E482" s="545">
        <v>1.2768134297493701</v>
      </c>
      <c r="F482" s="70"/>
      <c r="G482" s="70"/>
      <c r="H482" s="565">
        <v>2.2146298131250099</v>
      </c>
      <c r="I482" s="77"/>
      <c r="J482" s="84"/>
      <c r="K482" s="29"/>
      <c r="L482" s="29"/>
      <c r="M482" s="29"/>
      <c r="N482" s="29"/>
      <c r="O482" s="29"/>
      <c r="P482" s="29"/>
      <c r="Q482" s="29"/>
      <c r="R482" s="1"/>
      <c r="S482" s="1"/>
    </row>
    <row r="483" spans="1:19">
      <c r="A483" s="10">
        <v>13</v>
      </c>
      <c r="B483" s="70"/>
      <c r="C483" s="506">
        <v>47.526842356838401</v>
      </c>
      <c r="D483" s="526">
        <v>168.193488028015</v>
      </c>
      <c r="E483" s="546">
        <v>1.2789930892189201</v>
      </c>
      <c r="F483" s="70"/>
      <c r="G483" s="70"/>
      <c r="H483" s="566">
        <v>2.21005596726999</v>
      </c>
      <c r="I483" s="77"/>
      <c r="J483" s="84"/>
      <c r="K483" s="29"/>
      <c r="L483" s="29"/>
      <c r="M483" s="29"/>
      <c r="N483" s="29"/>
      <c r="O483" s="29"/>
      <c r="P483" s="29"/>
      <c r="Q483" s="29"/>
      <c r="R483" s="1"/>
      <c r="S483" s="1"/>
    </row>
    <row r="484" spans="1:19">
      <c r="A484" s="10">
        <v>14</v>
      </c>
      <c r="B484" s="70"/>
      <c r="C484" s="507">
        <v>47.937912026641101</v>
      </c>
      <c r="D484" s="527">
        <v>167.97788104202601</v>
      </c>
      <c r="E484" s="547">
        <v>1.2786831972496899</v>
      </c>
      <c r="F484" s="70"/>
      <c r="G484" s="70"/>
      <c r="H484" s="567">
        <v>2.2056173582719198</v>
      </c>
      <c r="I484" s="77"/>
      <c r="J484" s="84"/>
      <c r="K484" s="29"/>
      <c r="L484" s="29"/>
      <c r="M484" s="29"/>
      <c r="N484" s="29"/>
      <c r="O484" s="29"/>
      <c r="P484" s="29"/>
      <c r="Q484" s="29"/>
      <c r="R484" s="1"/>
      <c r="S484" s="1"/>
    </row>
    <row r="485" spans="1:19">
      <c r="A485" s="10">
        <v>15</v>
      </c>
      <c r="B485" s="70"/>
      <c r="C485" s="508">
        <v>47.844783217756003</v>
      </c>
      <c r="D485" s="528">
        <v>169.09126755592899</v>
      </c>
      <c r="E485" s="548">
        <v>1.2881526299652799</v>
      </c>
      <c r="F485" s="70"/>
      <c r="G485" s="70"/>
      <c r="H485" s="568">
        <v>2.1798484322318199</v>
      </c>
      <c r="I485" s="77"/>
      <c r="J485" s="84"/>
      <c r="K485" s="29"/>
      <c r="L485" s="29"/>
      <c r="M485" s="29"/>
      <c r="N485" s="29"/>
      <c r="O485" s="29"/>
      <c r="P485" s="29"/>
      <c r="Q485" s="29"/>
      <c r="R485" s="1"/>
      <c r="S485" s="1"/>
    </row>
    <row r="486" spans="1:19">
      <c r="A486" s="10">
        <v>16</v>
      </c>
      <c r="B486" s="70"/>
      <c r="C486" s="509">
        <v>47.878696395454597</v>
      </c>
      <c r="D486" s="529">
        <v>168.39418738544501</v>
      </c>
      <c r="E486" s="549">
        <v>1.27530594490297</v>
      </c>
      <c r="F486" s="70"/>
      <c r="G486" s="70"/>
      <c r="H486" s="569">
        <v>2.18142591298272</v>
      </c>
      <c r="I486" s="77"/>
      <c r="J486" s="84"/>
      <c r="K486" s="29"/>
      <c r="L486" s="29"/>
      <c r="M486" s="29"/>
      <c r="N486" s="29"/>
      <c r="O486" s="29"/>
      <c r="P486" s="29"/>
      <c r="Q486" s="29"/>
      <c r="R486" s="1"/>
      <c r="S486" s="1"/>
    </row>
    <row r="487" spans="1:19">
      <c r="A487" s="10">
        <v>17</v>
      </c>
      <c r="B487" s="70"/>
      <c r="C487" s="510">
        <v>48.095654784468302</v>
      </c>
      <c r="D487" s="530">
        <v>168.74360538746501</v>
      </c>
      <c r="E487" s="550">
        <v>1.27990141665199</v>
      </c>
      <c r="F487" s="70"/>
      <c r="G487" s="70"/>
      <c r="H487" s="570">
        <v>2.17690481369717</v>
      </c>
      <c r="I487" s="77"/>
      <c r="J487" s="84"/>
      <c r="K487" s="29"/>
      <c r="L487" s="29"/>
      <c r="M487" s="29"/>
      <c r="N487" s="29"/>
      <c r="O487" s="29"/>
      <c r="P487" s="29"/>
      <c r="Q487" s="29"/>
      <c r="R487" s="1"/>
      <c r="S487" s="1"/>
    </row>
    <row r="488" spans="1:19">
      <c r="A488" s="10">
        <v>18</v>
      </c>
      <c r="B488" s="70"/>
      <c r="C488" s="511">
        <v>47.729218586324997</v>
      </c>
      <c r="D488" s="531">
        <v>167.802796796606</v>
      </c>
      <c r="E488" s="551">
        <v>1.28559632896206</v>
      </c>
      <c r="F488" s="70"/>
      <c r="G488" s="70"/>
      <c r="H488" s="571">
        <v>2.1955347817084099</v>
      </c>
      <c r="I488" s="77"/>
      <c r="J488" s="84"/>
      <c r="K488" s="29"/>
      <c r="L488" s="29"/>
      <c r="M488" s="29"/>
      <c r="N488" s="29"/>
      <c r="O488" s="29"/>
      <c r="P488" s="29"/>
      <c r="Q488" s="29"/>
      <c r="R488" s="1"/>
      <c r="S488" s="1"/>
    </row>
    <row r="489" spans="1:19">
      <c r="A489" s="10">
        <v>19</v>
      </c>
      <c r="B489" s="70"/>
      <c r="C489" s="512">
        <v>47.646977245508303</v>
      </c>
      <c r="D489" s="532">
        <v>167.41190243229499</v>
      </c>
      <c r="E489" s="552">
        <v>1.2952037847215701</v>
      </c>
      <c r="F489" s="70"/>
      <c r="G489" s="70"/>
      <c r="H489" s="572">
        <v>2.18357805035303</v>
      </c>
      <c r="I489" s="77"/>
      <c r="J489" s="84"/>
      <c r="K489" s="29"/>
      <c r="L489" s="29"/>
      <c r="M489" s="29"/>
      <c r="N489" s="29"/>
      <c r="O489" s="29"/>
      <c r="P489" s="29"/>
      <c r="Q489" s="29"/>
      <c r="R489" s="1"/>
      <c r="S489" s="1"/>
    </row>
    <row r="490" spans="1:19">
      <c r="A490" s="10">
        <v>20</v>
      </c>
      <c r="B490" s="70"/>
      <c r="C490" s="513">
        <v>47.861377938923603</v>
      </c>
      <c r="D490" s="533">
        <v>167.37985402338501</v>
      </c>
      <c r="E490" s="553">
        <v>1.2846006772082801</v>
      </c>
      <c r="F490" s="70"/>
      <c r="G490" s="70"/>
      <c r="H490" s="573">
        <v>2.1881972748285299</v>
      </c>
      <c r="I490" s="77"/>
      <c r="J490" s="84"/>
      <c r="K490" s="29"/>
      <c r="L490" s="29"/>
      <c r="M490" s="29"/>
      <c r="N490" s="29"/>
      <c r="O490" s="29"/>
      <c r="P490" s="29"/>
      <c r="Q490" s="29"/>
      <c r="R490" s="1"/>
      <c r="S490" s="1"/>
    </row>
    <row r="491" spans="1:19">
      <c r="A491" s="11" t="s">
        <v>86</v>
      </c>
      <c r="B491" s="70" t="e">
        <f t="shared" ref="B491:I491" si="9">AVERAGE(B471:B490)</f>
        <v>#DIV/0!</v>
      </c>
      <c r="C491" s="59">
        <f t="shared" si="9"/>
        <v>47.753257713172545</v>
      </c>
      <c r="D491" s="59">
        <f t="shared" si="9"/>
        <v>168.34074499712631</v>
      </c>
      <c r="E491" s="59">
        <f t="shared" si="9"/>
        <v>1.2812015521214004</v>
      </c>
      <c r="F491" s="70" t="e">
        <f t="shared" si="9"/>
        <v>#DIV/0!</v>
      </c>
      <c r="G491" s="70" t="e">
        <f t="shared" si="9"/>
        <v>#DIV/0!</v>
      </c>
      <c r="H491" s="59">
        <f t="shared" si="9"/>
        <v>2.1853509828198829</v>
      </c>
      <c r="I491" s="78" t="e">
        <f t="shared" si="9"/>
        <v>#DIV/0!</v>
      </c>
      <c r="J491" s="84"/>
      <c r="K491" s="29"/>
      <c r="L491" s="29"/>
      <c r="M491" s="29"/>
      <c r="N491" s="29"/>
      <c r="O491" s="29"/>
      <c r="P491" s="29"/>
      <c r="Q491" s="29"/>
      <c r="R491" s="1"/>
      <c r="S491" s="1"/>
    </row>
    <row r="492" spans="1:19">
      <c r="A492" s="11" t="s">
        <v>4</v>
      </c>
      <c r="B492" s="70" t="e">
        <f t="shared" ref="B492:I492" si="10">STDEV(B471:B490)</f>
        <v>#DIV/0!</v>
      </c>
      <c r="C492" s="59">
        <f t="shared" si="10"/>
        <v>0.25195083481234093</v>
      </c>
      <c r="D492" s="59">
        <f t="shared" si="10"/>
        <v>0.62795436204534405</v>
      </c>
      <c r="E492" s="59">
        <f t="shared" si="10"/>
        <v>6.8887857636830366E-3</v>
      </c>
      <c r="F492" s="70" t="e">
        <f t="shared" si="10"/>
        <v>#DIV/0!</v>
      </c>
      <c r="G492" s="70" t="e">
        <f t="shared" si="10"/>
        <v>#DIV/0!</v>
      </c>
      <c r="H492" s="59">
        <f t="shared" si="10"/>
        <v>1.518173418957347E-2</v>
      </c>
      <c r="I492" s="78" t="e">
        <f t="shared" si="10"/>
        <v>#DIV/0!</v>
      </c>
      <c r="J492" s="84"/>
      <c r="K492" s="29"/>
      <c r="L492" s="29"/>
      <c r="M492" s="29"/>
      <c r="N492" s="29"/>
      <c r="O492" s="29"/>
      <c r="P492" s="29"/>
      <c r="Q492" s="29"/>
      <c r="R492" s="1"/>
      <c r="S492" s="1"/>
    </row>
    <row r="493" spans="1:19">
      <c r="A493" s="11" t="s">
        <v>5</v>
      </c>
      <c r="B493" s="70" t="e">
        <f t="shared" ref="B493:I493" si="11">B492/B491</f>
        <v>#DIV/0!</v>
      </c>
      <c r="C493" s="59">
        <f t="shared" si="11"/>
        <v>5.2760973151961795E-3</v>
      </c>
      <c r="D493" s="59">
        <f t="shared" si="11"/>
        <v>3.7302577106692954E-3</v>
      </c>
      <c r="E493" s="59">
        <f t="shared" si="11"/>
        <v>5.3768165924218993E-3</v>
      </c>
      <c r="F493" s="70" t="e">
        <f t="shared" si="11"/>
        <v>#DIV/0!</v>
      </c>
      <c r="G493" s="70" t="e">
        <f t="shared" si="11"/>
        <v>#DIV/0!</v>
      </c>
      <c r="H493" s="59">
        <f t="shared" si="11"/>
        <v>6.9470461765293251E-3</v>
      </c>
      <c r="I493" s="78" t="e">
        <f t="shared" si="11"/>
        <v>#DIV/0!</v>
      </c>
      <c r="J493" s="84"/>
      <c r="K493" s="29"/>
      <c r="L493" s="29"/>
      <c r="M493" s="29"/>
      <c r="N493" s="29"/>
      <c r="O493" s="29"/>
      <c r="P493" s="29"/>
      <c r="Q493" s="29"/>
      <c r="R493" s="1"/>
      <c r="S493" s="1"/>
    </row>
    <row r="494" spans="1:19" ht="21" customHeight="1">
      <c r="A494" s="62" t="s">
        <v>206</v>
      </c>
      <c r="B494" s="70">
        <v>0.05</v>
      </c>
      <c r="C494" s="23">
        <v>2.75E-2</v>
      </c>
      <c r="D494" s="23">
        <v>2.75E-2</v>
      </c>
      <c r="E494" s="23">
        <v>3.5000000000000003E-2</v>
      </c>
      <c r="F494" s="70">
        <v>2.5000000000000001E-2</v>
      </c>
      <c r="G494" s="70">
        <v>2.5000000000000001E-2</v>
      </c>
      <c r="H494" s="23">
        <v>1.2500000000000001E-2</v>
      </c>
      <c r="I494" s="79">
        <v>2.5000000000000001E-2</v>
      </c>
      <c r="J494" s="84"/>
      <c r="K494" s="29"/>
      <c r="L494" s="29"/>
      <c r="M494" s="29"/>
      <c r="N494" s="29"/>
      <c r="O494" s="29"/>
      <c r="P494" s="29"/>
      <c r="Q494" s="29"/>
      <c r="R494" s="1"/>
      <c r="S494" s="1"/>
    </row>
    <row r="495" spans="1:19" s="17" customFormat="1">
      <c r="A495" s="19" t="s">
        <v>6</v>
      </c>
      <c r="B495" s="71" t="e">
        <f t="shared" ref="B495:I495" si="12">IF(B493 &lt;= B494, "Pass", "Fail")</f>
        <v>#DIV/0!</v>
      </c>
      <c r="C495" s="55" t="str">
        <f t="shared" si="12"/>
        <v>Pass</v>
      </c>
      <c r="D495" s="55" t="str">
        <f t="shared" si="12"/>
        <v>Pass</v>
      </c>
      <c r="E495" s="55" t="str">
        <f t="shared" si="12"/>
        <v>Pass</v>
      </c>
      <c r="F495" s="71" t="e">
        <f t="shared" si="12"/>
        <v>#DIV/0!</v>
      </c>
      <c r="G495" s="71" t="e">
        <f t="shared" si="12"/>
        <v>#DIV/0!</v>
      </c>
      <c r="H495" s="55" t="str">
        <f t="shared" si="12"/>
        <v>Pass</v>
      </c>
      <c r="I495" s="80" t="e">
        <f t="shared" si="12"/>
        <v>#DIV/0!</v>
      </c>
      <c r="J495" s="85"/>
      <c r="M495" s="29"/>
      <c r="N495" s="29"/>
      <c r="O495" s="29"/>
      <c r="P495" s="29"/>
      <c r="Q495" s="29"/>
      <c r="R495" s="1"/>
      <c r="S495" s="1"/>
    </row>
    <row r="496" spans="1:19" s="17" customFormat="1" ht="14.25" customHeight="1">
      <c r="A496" s="760" t="s">
        <v>248</v>
      </c>
      <c r="B496" s="761"/>
      <c r="C496" s="761"/>
      <c r="D496" s="761"/>
      <c r="E496" s="761"/>
      <c r="F496" s="761"/>
      <c r="G496" s="761"/>
      <c r="H496" s="761"/>
      <c r="I496" s="761"/>
      <c r="J496" s="81"/>
      <c r="K496" s="74"/>
      <c r="L496" s="74"/>
    </row>
    <row r="497" spans="1:12" s="17" customFormat="1" ht="14.25" customHeight="1">
      <c r="A497" s="758" t="s">
        <v>148</v>
      </c>
      <c r="B497" s="759"/>
      <c r="C497" s="759"/>
      <c r="D497" s="759"/>
      <c r="E497" s="759"/>
      <c r="F497" s="759"/>
      <c r="G497" s="759"/>
      <c r="H497" s="759"/>
      <c r="I497" s="759"/>
      <c r="J497" s="73"/>
      <c r="K497" s="73"/>
      <c r="L497" s="73"/>
    </row>
    <row r="498" spans="1:12" s="17" customFormat="1" ht="14.25" customHeight="1">
      <c r="A498" s="63" t="s">
        <v>150</v>
      </c>
      <c r="B498" s="72" t="s">
        <v>242</v>
      </c>
      <c r="C498" s="64" t="s">
        <v>266</v>
      </c>
      <c r="D498" s="65" t="s">
        <v>243</v>
      </c>
      <c r="E498" s="63" t="s">
        <v>244</v>
      </c>
      <c r="F498" s="72" t="s">
        <v>245</v>
      </c>
      <c r="G498" s="72" t="s">
        <v>320</v>
      </c>
      <c r="H498" s="65" t="s">
        <v>246</v>
      </c>
      <c r="I498" s="72" t="s">
        <v>321</v>
      </c>
      <c r="J498" s="83"/>
    </row>
    <row r="499" spans="1:12" s="17" customFormat="1" ht="21.75" customHeight="1">
      <c r="A499" s="66" t="s">
        <v>146</v>
      </c>
      <c r="B499" s="70" t="s">
        <v>249</v>
      </c>
      <c r="C499" s="62" t="s">
        <v>249</v>
      </c>
      <c r="D499" s="62" t="s">
        <v>249</v>
      </c>
      <c r="E499" s="62" t="s">
        <v>250</v>
      </c>
      <c r="F499" s="70" t="s">
        <v>250</v>
      </c>
      <c r="G499" s="70" t="s">
        <v>251</v>
      </c>
      <c r="H499" s="62" t="s">
        <v>250</v>
      </c>
      <c r="I499" s="76" t="s">
        <v>250</v>
      </c>
      <c r="J499" s="84"/>
    </row>
    <row r="500" spans="1:12" s="17" customFormat="1">
      <c r="A500" s="49">
        <v>1</v>
      </c>
      <c r="B500" s="70"/>
      <c r="C500" s="574">
        <v>47.980123774219898</v>
      </c>
      <c r="D500" s="594">
        <v>168.541045212347</v>
      </c>
      <c r="E500" s="614">
        <v>1.2711569002298799</v>
      </c>
      <c r="F500" s="70"/>
      <c r="G500" s="70"/>
      <c r="H500" s="634">
        <v>2.17244541552764</v>
      </c>
      <c r="I500" s="77"/>
      <c r="J500" s="84"/>
    </row>
    <row r="501" spans="1:12" s="17" customFormat="1">
      <c r="A501" s="49">
        <v>2</v>
      </c>
      <c r="B501" s="70"/>
      <c r="C501" s="575">
        <v>48.3041192766538</v>
      </c>
      <c r="D501" s="595">
        <v>168.64402764314701</v>
      </c>
      <c r="E501" s="615">
        <v>1.2714819167962299</v>
      </c>
      <c r="F501" s="70"/>
      <c r="G501" s="70"/>
      <c r="H501" s="635">
        <v>2.17877238382908</v>
      </c>
      <c r="I501" s="77"/>
      <c r="J501" s="84"/>
    </row>
    <row r="502" spans="1:12" s="17" customFormat="1">
      <c r="A502" s="49">
        <v>3</v>
      </c>
      <c r="B502" s="70"/>
      <c r="C502" s="576">
        <v>48.054484644572</v>
      </c>
      <c r="D502" s="596">
        <v>169.28160540906501</v>
      </c>
      <c r="E502" s="616">
        <v>1.27057350135207</v>
      </c>
      <c r="F502" s="70"/>
      <c r="G502" s="70"/>
      <c r="H502" s="636">
        <v>2.1827525082331398</v>
      </c>
      <c r="I502" s="77"/>
      <c r="J502" s="84"/>
    </row>
    <row r="503" spans="1:12" s="17" customFormat="1">
      <c r="A503" s="49">
        <v>4</v>
      </c>
      <c r="B503" s="70"/>
      <c r="C503" s="577">
        <v>48.075113018475498</v>
      </c>
      <c r="D503" s="597">
        <v>169.02281295026501</v>
      </c>
      <c r="E503" s="617">
        <v>1.27632699107518</v>
      </c>
      <c r="F503" s="70"/>
      <c r="G503" s="70"/>
      <c r="H503" s="637">
        <v>2.1684172568624498</v>
      </c>
      <c r="I503" s="77"/>
      <c r="J503" s="84"/>
    </row>
    <row r="504" spans="1:12" s="17" customFormat="1">
      <c r="A504" s="49">
        <v>5</v>
      </c>
      <c r="B504" s="70"/>
      <c r="C504" s="578">
        <v>47.641835600521901</v>
      </c>
      <c r="D504" s="598">
        <v>169.38327444243299</v>
      </c>
      <c r="E504" s="618">
        <v>1.26808392958326</v>
      </c>
      <c r="F504" s="70"/>
      <c r="G504" s="70"/>
      <c r="H504" s="638">
        <v>2.1758727311702399</v>
      </c>
      <c r="I504" s="77"/>
      <c r="J504" s="84"/>
    </row>
    <row r="505" spans="1:12" s="17" customFormat="1">
      <c r="A505" s="49">
        <v>6</v>
      </c>
      <c r="B505" s="70"/>
      <c r="C505" s="579">
        <v>47.853924059523301</v>
      </c>
      <c r="D505" s="599">
        <v>167.90457288154499</v>
      </c>
      <c r="E505" s="619">
        <v>1.2702738448415001</v>
      </c>
      <c r="F505" s="70"/>
      <c r="G505" s="70"/>
      <c r="H505" s="639">
        <v>2.19744301399068</v>
      </c>
      <c r="I505" s="77"/>
      <c r="J505" s="84"/>
    </row>
    <row r="506" spans="1:12" s="17" customFormat="1">
      <c r="A506" s="49">
        <v>7</v>
      </c>
      <c r="B506" s="70"/>
      <c r="C506" s="580">
        <v>47.881928705339597</v>
      </c>
      <c r="D506" s="600">
        <v>168.747637889152</v>
      </c>
      <c r="E506" s="620">
        <v>1.2642656093359801</v>
      </c>
      <c r="F506" s="70"/>
      <c r="G506" s="70"/>
      <c r="H506" s="640">
        <v>2.1872083900505701</v>
      </c>
      <c r="I506" s="77"/>
      <c r="J506" s="84"/>
    </row>
    <row r="507" spans="1:12" s="17" customFormat="1">
      <c r="A507" s="49">
        <v>8</v>
      </c>
      <c r="B507" s="70"/>
      <c r="C507" s="581">
        <v>48.1711866602515</v>
      </c>
      <c r="D507" s="601">
        <v>169.54360055769101</v>
      </c>
      <c r="E507" s="621">
        <v>1.2646298462721299</v>
      </c>
      <c r="F507" s="70"/>
      <c r="G507" s="70"/>
      <c r="H507" s="641">
        <v>2.17953670044878</v>
      </c>
      <c r="I507" s="77"/>
      <c r="J507" s="84"/>
    </row>
    <row r="508" spans="1:12" s="17" customFormat="1">
      <c r="A508" s="49">
        <v>9</v>
      </c>
      <c r="B508" s="70"/>
      <c r="C508" s="582">
        <v>47.696486512298499</v>
      </c>
      <c r="D508" s="602">
        <v>168.78678908180001</v>
      </c>
      <c r="E508" s="622">
        <v>1.2654047145398799</v>
      </c>
      <c r="F508" s="70"/>
      <c r="G508" s="70"/>
      <c r="H508" s="642">
        <v>2.1799648606976798</v>
      </c>
      <c r="I508" s="77"/>
      <c r="J508" s="84"/>
    </row>
    <row r="509" spans="1:12" s="17" customFormat="1">
      <c r="A509" s="49">
        <v>10</v>
      </c>
      <c r="B509" s="70"/>
      <c r="C509" s="583">
        <v>48.235864622956299</v>
      </c>
      <c r="D509" s="603">
        <v>168.67693043427701</v>
      </c>
      <c r="E509" s="623">
        <v>1.2649486327893</v>
      </c>
      <c r="F509" s="70"/>
      <c r="G509" s="70"/>
      <c r="H509" s="643">
        <v>2.1949064059375001</v>
      </c>
      <c r="I509" s="77"/>
      <c r="J509" s="84"/>
    </row>
    <row r="510" spans="1:12" s="17" customFormat="1">
      <c r="A510" s="49">
        <v>11</v>
      </c>
      <c r="B510" s="70"/>
      <c r="C510" s="584">
        <v>47.920241866509002</v>
      </c>
      <c r="D510" s="604">
        <v>168.44317336764601</v>
      </c>
      <c r="E510" s="624">
        <v>1.2671671341894699</v>
      </c>
      <c r="F510" s="70"/>
      <c r="G510" s="70"/>
      <c r="H510" s="644">
        <v>2.19690063995882</v>
      </c>
      <c r="I510" s="77"/>
      <c r="J510" s="84"/>
    </row>
    <row r="511" spans="1:12" s="17" customFormat="1">
      <c r="A511" s="49">
        <v>12</v>
      </c>
      <c r="B511" s="70"/>
      <c r="C511" s="585">
        <v>47.888074673624899</v>
      </c>
      <c r="D511" s="605">
        <v>168.463431336876</v>
      </c>
      <c r="E511" s="625">
        <v>1.2656885647688201</v>
      </c>
      <c r="F511" s="70"/>
      <c r="G511" s="70"/>
      <c r="H511" s="645">
        <v>2.1911496530344601</v>
      </c>
      <c r="I511" s="77"/>
      <c r="J511" s="84"/>
    </row>
    <row r="512" spans="1:12" s="17" customFormat="1">
      <c r="A512" s="49">
        <v>13</v>
      </c>
      <c r="B512" s="70"/>
      <c r="C512" s="586">
        <v>47.835013639489198</v>
      </c>
      <c r="D512" s="606">
        <v>169.74924057542901</v>
      </c>
      <c r="E512" s="626">
        <v>1.26787539740404</v>
      </c>
      <c r="F512" s="70"/>
      <c r="G512" s="70"/>
      <c r="H512" s="646">
        <v>2.2034920449072</v>
      </c>
      <c r="I512" s="77"/>
      <c r="J512" s="84"/>
    </row>
    <row r="513" spans="1:17" s="17" customFormat="1">
      <c r="A513" s="49">
        <v>14</v>
      </c>
      <c r="B513" s="70"/>
      <c r="C513" s="587">
        <v>48.234580513847703</v>
      </c>
      <c r="D513" s="607">
        <v>168.804071730727</v>
      </c>
      <c r="E513" s="627">
        <v>1.26805404542692</v>
      </c>
      <c r="F513" s="70"/>
      <c r="G513" s="70"/>
      <c r="H513" s="647">
        <v>2.1830209781592602</v>
      </c>
      <c r="I513" s="77"/>
      <c r="J513" s="84"/>
    </row>
    <row r="514" spans="1:17" s="17" customFormat="1">
      <c r="A514" s="49">
        <v>15</v>
      </c>
      <c r="B514" s="70"/>
      <c r="C514" s="588">
        <v>47.858064048743202</v>
      </c>
      <c r="D514" s="608">
        <v>168.961379327857</v>
      </c>
      <c r="E514" s="628">
        <v>1.2606042120149901</v>
      </c>
      <c r="F514" s="70"/>
      <c r="G514" s="70"/>
      <c r="H514" s="648">
        <v>2.1923881370837801</v>
      </c>
      <c r="I514" s="77"/>
      <c r="J514" s="84"/>
    </row>
    <row r="515" spans="1:17" s="17" customFormat="1">
      <c r="A515" s="49">
        <v>16</v>
      </c>
      <c r="B515" s="70"/>
      <c r="C515" s="589">
        <v>47.704087908804297</v>
      </c>
      <c r="D515" s="609">
        <v>168.82062236765</v>
      </c>
      <c r="E515" s="629">
        <v>1.2626773897977599</v>
      </c>
      <c r="F515" s="70"/>
      <c r="G515" s="70"/>
      <c r="H515" s="649">
        <v>2.1937051006233399</v>
      </c>
      <c r="I515" s="77"/>
      <c r="J515" s="84"/>
    </row>
    <row r="516" spans="1:17" s="17" customFormat="1">
      <c r="A516" s="49">
        <v>17</v>
      </c>
      <c r="B516" s="70"/>
      <c r="C516" s="590">
        <v>48.155486152578497</v>
      </c>
      <c r="D516" s="610">
        <v>170.004211264205</v>
      </c>
      <c r="E516" s="630">
        <v>1.26635925910154</v>
      </c>
      <c r="F516" s="70"/>
      <c r="G516" s="70"/>
      <c r="H516" s="650">
        <v>2.1862158943558501</v>
      </c>
      <c r="I516" s="77"/>
      <c r="J516" s="84"/>
    </row>
    <row r="517" spans="1:17" s="17" customFormat="1">
      <c r="A517" s="49">
        <v>18</v>
      </c>
      <c r="B517" s="70"/>
      <c r="C517" s="591">
        <v>48.245629137073898</v>
      </c>
      <c r="D517" s="611">
        <v>167.416522294104</v>
      </c>
      <c r="E517" s="631">
        <v>1.2837247171581001</v>
      </c>
      <c r="F517" s="70"/>
      <c r="G517" s="70"/>
      <c r="H517" s="651">
        <v>2.2060733504526802</v>
      </c>
      <c r="I517" s="77"/>
      <c r="J517" s="84"/>
    </row>
    <row r="518" spans="1:17" s="17" customFormat="1">
      <c r="A518" s="49">
        <v>19</v>
      </c>
      <c r="B518" s="70"/>
      <c r="C518" s="592">
        <v>48.177488608399798</v>
      </c>
      <c r="D518" s="612">
        <v>167.74765583936599</v>
      </c>
      <c r="E518" s="632">
        <v>1.26883089275001</v>
      </c>
      <c r="F518" s="70"/>
      <c r="G518" s="70"/>
      <c r="H518" s="652">
        <v>2.19434228691162</v>
      </c>
      <c r="I518" s="77"/>
      <c r="J518" s="84"/>
    </row>
    <row r="519" spans="1:17" s="17" customFormat="1">
      <c r="A519" s="49">
        <v>20</v>
      </c>
      <c r="B519" s="70"/>
      <c r="C519" s="593">
        <v>48.503366126820097</v>
      </c>
      <c r="D519" s="613">
        <v>168.234520973993</v>
      </c>
      <c r="E519" s="633">
        <v>1.2844158310048199</v>
      </c>
      <c r="F519" s="70"/>
      <c r="G519" s="70"/>
      <c r="H519" s="653">
        <v>2.1922548364846399</v>
      </c>
      <c r="I519" s="77"/>
      <c r="J519" s="84"/>
    </row>
    <row r="520" spans="1:17" s="17" customFormat="1">
      <c r="A520" s="11" t="s">
        <v>86</v>
      </c>
      <c r="B520" s="70" t="e">
        <f t="shared" ref="B520:I520" si="13">AVERAGE(B500:B519)</f>
        <v>#DIV/0!</v>
      </c>
      <c r="C520" s="59">
        <f t="shared" si="13"/>
        <v>48.020854977535159</v>
      </c>
      <c r="D520" s="59">
        <f t="shared" si="13"/>
        <v>168.75885627897875</v>
      </c>
      <c r="E520" s="59">
        <f t="shared" si="13"/>
        <v>1.269127166521594</v>
      </c>
      <c r="F520" s="70" t="e">
        <f t="shared" si="13"/>
        <v>#DIV/0!</v>
      </c>
      <c r="G520" s="70" t="e">
        <f t="shared" si="13"/>
        <v>#DIV/0!</v>
      </c>
      <c r="H520" s="59">
        <f t="shared" si="13"/>
        <v>2.1878431294359699</v>
      </c>
      <c r="I520" s="78" t="e">
        <f t="shared" si="13"/>
        <v>#DIV/0!</v>
      </c>
      <c r="J520" s="84"/>
    </row>
    <row r="521" spans="1:17" s="17" customFormat="1">
      <c r="A521" s="11" t="s">
        <v>4</v>
      </c>
      <c r="B521" s="70" t="e">
        <f t="shared" ref="B521:I521" si="14">STDEV(B500:B519)</f>
        <v>#DIV/0!</v>
      </c>
      <c r="C521" s="59">
        <f t="shared" si="14"/>
        <v>0.23074820326217624</v>
      </c>
      <c r="D521" s="59">
        <f t="shared" si="14"/>
        <v>0.64935586996907269</v>
      </c>
      <c r="E521" s="59">
        <f t="shared" si="14"/>
        <v>6.191590619891405E-3</v>
      </c>
      <c r="F521" s="70" t="e">
        <f t="shared" si="14"/>
        <v>#DIV/0!</v>
      </c>
      <c r="G521" s="70" t="e">
        <f t="shared" si="14"/>
        <v>#DIV/0!</v>
      </c>
      <c r="H521" s="59">
        <f t="shared" si="14"/>
        <v>1.0136634940603824E-2</v>
      </c>
      <c r="I521" s="78" t="e">
        <f t="shared" si="14"/>
        <v>#DIV/0!</v>
      </c>
      <c r="J521" s="84"/>
    </row>
    <row r="522" spans="1:17" s="17" customFormat="1">
      <c r="A522" s="11" t="s">
        <v>5</v>
      </c>
      <c r="B522" s="70" t="e">
        <f t="shared" ref="B522:I522" si="15">B521/B520</f>
        <v>#DIV/0!</v>
      </c>
      <c r="C522" s="59">
        <f t="shared" si="15"/>
        <v>4.8051664921443726E-3</v>
      </c>
      <c r="D522" s="59">
        <f t="shared" si="15"/>
        <v>3.8478328443729737E-3</v>
      </c>
      <c r="E522" s="59">
        <f t="shared" si="15"/>
        <v>4.8786211368095052E-3</v>
      </c>
      <c r="F522" s="70" t="e">
        <f t="shared" si="15"/>
        <v>#DIV/0!</v>
      </c>
      <c r="G522" s="70" t="e">
        <f t="shared" si="15"/>
        <v>#DIV/0!</v>
      </c>
      <c r="H522" s="59">
        <f t="shared" si="15"/>
        <v>4.6331635043765996E-3</v>
      </c>
      <c r="I522" s="78" t="e">
        <f t="shared" si="15"/>
        <v>#DIV/0!</v>
      </c>
      <c r="J522" s="84"/>
    </row>
    <row r="523" spans="1:17" s="17" customFormat="1" ht="21" customHeight="1">
      <c r="A523" s="62" t="s">
        <v>206</v>
      </c>
      <c r="B523" s="70">
        <v>0.05</v>
      </c>
      <c r="C523" s="23">
        <v>2.75E-2</v>
      </c>
      <c r="D523" s="23">
        <v>2.75E-2</v>
      </c>
      <c r="E523" s="23">
        <v>3.5000000000000003E-2</v>
      </c>
      <c r="F523" s="70">
        <v>2.5000000000000001E-2</v>
      </c>
      <c r="G523" s="70">
        <v>2.5000000000000001E-2</v>
      </c>
      <c r="H523" s="23">
        <v>1.2500000000000001E-2</v>
      </c>
      <c r="I523" s="79">
        <v>2.5000000000000001E-2</v>
      </c>
      <c r="J523" s="84"/>
    </row>
    <row r="524" spans="1:17" s="17" customFormat="1">
      <c r="A524" s="19" t="s">
        <v>6</v>
      </c>
      <c r="B524" s="71" t="e">
        <f t="shared" ref="B524:I524" si="16">IF(B522 &lt;= B523, "Pass", "Fail")</f>
        <v>#DIV/0!</v>
      </c>
      <c r="C524" s="55" t="str">
        <f t="shared" si="16"/>
        <v>Pass</v>
      </c>
      <c r="D524" s="55" t="str">
        <f t="shared" si="16"/>
        <v>Pass</v>
      </c>
      <c r="E524" s="55" t="str">
        <f t="shared" si="16"/>
        <v>Pass</v>
      </c>
      <c r="F524" s="71" t="e">
        <f t="shared" si="16"/>
        <v>#DIV/0!</v>
      </c>
      <c r="G524" s="71" t="e">
        <f t="shared" si="16"/>
        <v>#DIV/0!</v>
      </c>
      <c r="H524" s="55" t="str">
        <f t="shared" si="16"/>
        <v>Pass</v>
      </c>
      <c r="I524" s="80" t="e">
        <f t="shared" si="16"/>
        <v>#DIV/0!</v>
      </c>
      <c r="J524" s="85"/>
    </row>
    <row r="525" spans="1:17" s="1" customFormat="1">
      <c r="A525" s="952" t="s">
        <v>138</v>
      </c>
      <c r="B525" s="952"/>
      <c r="C525" s="952"/>
      <c r="D525" s="952"/>
      <c r="E525" s="952"/>
      <c r="F525" s="952"/>
      <c r="G525" s="952"/>
      <c r="H525" s="952"/>
      <c r="I525" s="952"/>
      <c r="J525" s="953"/>
      <c r="K525" s="953"/>
      <c r="L525" s="952"/>
      <c r="M525" s="952"/>
      <c r="N525" s="952"/>
      <c r="O525" s="952"/>
      <c r="P525" s="952"/>
      <c r="Q525" s="952"/>
    </row>
    <row r="526" spans="1:17">
      <c r="A526" s="952" t="s">
        <v>247</v>
      </c>
      <c r="B526" s="952"/>
      <c r="C526" s="952"/>
      <c r="D526" s="952"/>
      <c r="E526" s="952"/>
      <c r="F526" s="952"/>
      <c r="G526" s="952"/>
      <c r="H526" s="952"/>
      <c r="I526" s="952"/>
      <c r="J526" s="952"/>
      <c r="K526" s="952"/>
      <c r="L526" s="952"/>
      <c r="M526" s="952"/>
      <c r="N526" s="952"/>
      <c r="O526" s="952"/>
      <c r="P526" s="952"/>
      <c r="Q526" s="952"/>
    </row>
    <row r="527" spans="1:17">
      <c r="A527" s="808" t="s">
        <v>139</v>
      </c>
      <c r="B527" s="808"/>
      <c r="C527" s="808"/>
      <c r="D527" s="808"/>
      <c r="E527" s="808"/>
      <c r="F527" s="808"/>
      <c r="G527" s="808"/>
      <c r="H527" s="809"/>
      <c r="I527" s="810"/>
      <c r="J527" s="810"/>
      <c r="K527" s="810"/>
      <c r="L527" s="810"/>
      <c r="M527" s="810"/>
      <c r="N527" s="810"/>
      <c r="O527" s="810"/>
      <c r="P527" s="810"/>
      <c r="Q527" s="811"/>
    </row>
    <row r="528" spans="1:17" ht="14.5">
      <c r="A528" s="812" t="s">
        <v>140</v>
      </c>
      <c r="B528" s="812"/>
      <c r="C528" s="812" t="s">
        <v>146</v>
      </c>
      <c r="D528" s="812"/>
      <c r="E528" s="812" t="s">
        <v>145</v>
      </c>
      <c r="F528" s="812"/>
      <c r="G528" s="812"/>
      <c r="H528" s="813" t="s">
        <v>144</v>
      </c>
      <c r="I528" s="813"/>
      <c r="J528" s="813"/>
      <c r="K528" s="714" t="s">
        <v>143</v>
      </c>
      <c r="L528" s="714"/>
      <c r="M528" s="714" t="s">
        <v>142</v>
      </c>
      <c r="N528" s="714"/>
      <c r="O528" s="813" t="s">
        <v>141</v>
      </c>
      <c r="P528" s="813"/>
      <c r="Q528" s="813"/>
    </row>
    <row r="529" spans="1:17" ht="14.5">
      <c r="A529" s="804" t="s">
        <v>242</v>
      </c>
      <c r="B529" s="804"/>
      <c r="C529" s="740" t="s">
        <v>249</v>
      </c>
      <c r="D529" s="740"/>
      <c r="E529" s="714"/>
      <c r="F529" s="714"/>
      <c r="G529" s="714"/>
      <c r="H529" s="714">
        <f>E529*(1-0.05)</f>
        <v>0</v>
      </c>
      <c r="I529" s="714"/>
      <c r="J529" s="714"/>
      <c r="K529" s="714">
        <f>E529*(1+0.05)</f>
        <v>0</v>
      </c>
      <c r="L529" s="714"/>
      <c r="M529" s="714"/>
      <c r="N529" s="714"/>
      <c r="O529" s="742" t="str">
        <f>IF(AND(M529 &gt;= H529, M529 &lt;= K529), "Pass", "Fail")</f>
        <v>Pass</v>
      </c>
      <c r="P529" s="742"/>
      <c r="Q529" s="742"/>
    </row>
    <row r="530" spans="1:17" ht="14.5">
      <c r="A530" s="756" t="s">
        <v>382</v>
      </c>
      <c r="B530" s="757"/>
      <c r="C530" s="740" t="s">
        <v>249</v>
      </c>
      <c r="D530" s="740"/>
      <c r="E530" s="714"/>
      <c r="F530" s="714"/>
      <c r="G530" s="714"/>
      <c r="H530" s="714">
        <f t="shared" ref="H530:H536" si="17">E530*(1-0.05)</f>
        <v>0</v>
      </c>
      <c r="I530" s="714"/>
      <c r="J530" s="714"/>
      <c r="K530" s="714">
        <f t="shared" ref="K530:K536" si="18">E530*(1+0.05)</f>
        <v>0</v>
      </c>
      <c r="L530" s="714"/>
      <c r="M530" s="741">
        <v>47.753257713172502</v>
      </c>
      <c r="N530" s="714"/>
      <c r="O530" s="742" t="str">
        <f t="shared" ref="O530:O534" si="19">IF(AND(M530 &gt;= H530, M530 &lt;= K530), "Pass", "Fail")</f>
        <v>Fail</v>
      </c>
      <c r="P530" s="742"/>
      <c r="Q530" s="742"/>
    </row>
    <row r="531" spans="1:17" ht="14.5">
      <c r="A531" s="819" t="s">
        <v>243</v>
      </c>
      <c r="B531" s="820"/>
      <c r="C531" s="740" t="s">
        <v>249</v>
      </c>
      <c r="D531" s="740"/>
      <c r="E531" s="714"/>
      <c r="F531" s="714"/>
      <c r="G531" s="714"/>
      <c r="H531" s="714">
        <f t="shared" si="17"/>
        <v>0</v>
      </c>
      <c r="I531" s="714"/>
      <c r="J531" s="714"/>
      <c r="K531" s="714">
        <f t="shared" si="18"/>
        <v>0</v>
      </c>
      <c r="L531" s="714"/>
      <c r="M531" s="741">
        <v>168.340744997126</v>
      </c>
      <c r="N531" s="714"/>
      <c r="O531" s="742" t="str">
        <f t="shared" si="19"/>
        <v>Fail</v>
      </c>
      <c r="P531" s="742"/>
      <c r="Q531" s="742"/>
    </row>
    <row r="532" spans="1:17" ht="14.5">
      <c r="A532" s="757" t="s">
        <v>244</v>
      </c>
      <c r="B532" s="757"/>
      <c r="C532" s="740" t="s">
        <v>250</v>
      </c>
      <c r="D532" s="740"/>
      <c r="E532" s="714"/>
      <c r="F532" s="714"/>
      <c r="G532" s="714"/>
      <c r="H532" s="714">
        <f>E532*(1-0.045)</f>
        <v>0</v>
      </c>
      <c r="I532" s="714"/>
      <c r="J532" s="714"/>
      <c r="K532" s="714">
        <f>E532*(1+0.045)</f>
        <v>0</v>
      </c>
      <c r="L532" s="714"/>
      <c r="M532" s="741">
        <v>1.2812015521214</v>
      </c>
      <c r="N532" s="714"/>
      <c r="O532" s="742" t="str">
        <f t="shared" si="19"/>
        <v>Fail</v>
      </c>
      <c r="P532" s="742"/>
      <c r="Q532" s="742"/>
    </row>
    <row r="533" spans="1:17" ht="14.5">
      <c r="A533" s="804" t="s">
        <v>245</v>
      </c>
      <c r="B533" s="804"/>
      <c r="C533" s="740" t="s">
        <v>250</v>
      </c>
      <c r="D533" s="740"/>
      <c r="E533" s="714"/>
      <c r="F533" s="714"/>
      <c r="G533" s="714"/>
      <c r="H533" s="714">
        <f t="shared" si="17"/>
        <v>0</v>
      </c>
      <c r="I533" s="714"/>
      <c r="J533" s="714"/>
      <c r="K533" s="714">
        <f t="shared" si="18"/>
        <v>0</v>
      </c>
      <c r="L533" s="714"/>
      <c r="M533" s="714"/>
      <c r="N533" s="714"/>
      <c r="O533" s="742" t="str">
        <f t="shared" si="19"/>
        <v>Pass</v>
      </c>
      <c r="P533" s="742"/>
      <c r="Q533" s="742"/>
    </row>
    <row r="534" spans="1:17" s="1" customFormat="1" ht="14.5">
      <c r="A534" s="802" t="s">
        <v>320</v>
      </c>
      <c r="B534" s="802"/>
      <c r="C534" s="740" t="s">
        <v>251</v>
      </c>
      <c r="D534" s="740"/>
      <c r="E534" s="714"/>
      <c r="F534" s="714"/>
      <c r="G534" s="714"/>
      <c r="H534" s="714">
        <f t="shared" si="17"/>
        <v>0</v>
      </c>
      <c r="I534" s="714"/>
      <c r="J534" s="714"/>
      <c r="K534" s="714">
        <f t="shared" si="18"/>
        <v>0</v>
      </c>
      <c r="L534" s="714"/>
      <c r="M534" s="714"/>
      <c r="N534" s="714"/>
      <c r="O534" s="742" t="str">
        <f t="shared" si="19"/>
        <v>Pass</v>
      </c>
      <c r="P534" s="742"/>
      <c r="Q534" s="742"/>
    </row>
    <row r="535" spans="1:17" s="1" customFormat="1" ht="14.5">
      <c r="A535" s="757" t="s">
        <v>246</v>
      </c>
      <c r="B535" s="757"/>
      <c r="C535" s="740" t="s">
        <v>250</v>
      </c>
      <c r="D535" s="740"/>
      <c r="E535" s="714"/>
      <c r="F535" s="714"/>
      <c r="G535" s="714"/>
      <c r="H535" s="714">
        <f>E535*(1-0.038)</f>
        <v>0</v>
      </c>
      <c r="I535" s="714"/>
      <c r="J535" s="714"/>
      <c r="K535" s="714">
        <f>E535*(1+0.038)</f>
        <v>0</v>
      </c>
      <c r="L535" s="714"/>
      <c r="M535" s="741">
        <v>2.1852913517342301</v>
      </c>
      <c r="N535" s="714"/>
      <c r="O535" s="742" t="str">
        <f t="shared" ref="O535:O536" si="20">IF(AND(M535 &gt;= H535, M535 &lt;= K535), "Pass", "Fail")</f>
        <v>Fail</v>
      </c>
      <c r="P535" s="742"/>
      <c r="Q535" s="742"/>
    </row>
    <row r="536" spans="1:17" s="1" customFormat="1" ht="14.5">
      <c r="A536" s="757" t="s">
        <v>328</v>
      </c>
      <c r="B536" s="757"/>
      <c r="C536" s="740" t="s">
        <v>250</v>
      </c>
      <c r="D536" s="740"/>
      <c r="E536" s="714"/>
      <c r="F536" s="714"/>
      <c r="G536" s="714"/>
      <c r="H536" s="714">
        <f t="shared" si="17"/>
        <v>0</v>
      </c>
      <c r="I536" s="714"/>
      <c r="J536" s="714"/>
      <c r="K536" s="714">
        <f t="shared" si="18"/>
        <v>0</v>
      </c>
      <c r="L536" s="714"/>
      <c r="M536" s="714"/>
      <c r="N536" s="714"/>
      <c r="O536" s="742" t="str">
        <f t="shared" si="20"/>
        <v>Pass</v>
      </c>
      <c r="P536" s="742"/>
      <c r="Q536" s="742"/>
    </row>
    <row r="537" spans="1:17">
      <c r="A537" s="808" t="s">
        <v>147</v>
      </c>
      <c r="B537" s="808"/>
      <c r="C537" s="808"/>
      <c r="D537" s="808"/>
      <c r="E537" s="808"/>
      <c r="F537" s="808"/>
      <c r="G537" s="808"/>
      <c r="H537" s="809"/>
      <c r="I537" s="810"/>
      <c r="J537" s="810"/>
      <c r="K537" s="810"/>
      <c r="L537" s="810"/>
      <c r="M537" s="810"/>
      <c r="N537" s="810"/>
      <c r="O537" s="810"/>
      <c r="P537" s="810"/>
      <c r="Q537" s="811"/>
    </row>
    <row r="538" spans="1:17" ht="14.5">
      <c r="A538" s="812" t="s">
        <v>140</v>
      </c>
      <c r="B538" s="812"/>
      <c r="C538" s="812" t="s">
        <v>146</v>
      </c>
      <c r="D538" s="812"/>
      <c r="E538" s="812" t="s">
        <v>145</v>
      </c>
      <c r="F538" s="812"/>
      <c r="G538" s="812"/>
      <c r="H538" s="813" t="s">
        <v>144</v>
      </c>
      <c r="I538" s="813"/>
      <c r="J538" s="813"/>
      <c r="K538" s="714" t="s">
        <v>143</v>
      </c>
      <c r="L538" s="714"/>
      <c r="M538" s="714" t="s">
        <v>142</v>
      </c>
      <c r="N538" s="714"/>
      <c r="O538" s="813" t="s">
        <v>141</v>
      </c>
      <c r="P538" s="813"/>
      <c r="Q538" s="813"/>
    </row>
    <row r="539" spans="1:17" s="1" customFormat="1" ht="14.5">
      <c r="A539" s="804" t="s">
        <v>242</v>
      </c>
      <c r="B539" s="804"/>
      <c r="C539" s="740" t="s">
        <v>249</v>
      </c>
      <c r="D539" s="740"/>
      <c r="E539" s="714"/>
      <c r="F539" s="714"/>
      <c r="G539" s="714"/>
      <c r="H539" s="714">
        <f>E539*(1-0.05)</f>
        <v>0</v>
      </c>
      <c r="I539" s="714"/>
      <c r="J539" s="714"/>
      <c r="K539" s="714">
        <f>E539*(1+0.05)</f>
        <v>0</v>
      </c>
      <c r="L539" s="714"/>
      <c r="M539" s="714"/>
      <c r="N539" s="714"/>
      <c r="O539" s="742" t="str">
        <f>IF(AND(M539 &gt;= H539, M539 &lt;= K539), "Pass", "Fail")</f>
        <v>Pass</v>
      </c>
      <c r="P539" s="742"/>
      <c r="Q539" s="742"/>
    </row>
    <row r="540" spans="1:17" s="1" customFormat="1" ht="14.5">
      <c r="A540" s="756" t="s">
        <v>382</v>
      </c>
      <c r="B540" s="757"/>
      <c r="C540" s="740" t="s">
        <v>249</v>
      </c>
      <c r="D540" s="740"/>
      <c r="E540" s="714"/>
      <c r="F540" s="714"/>
      <c r="G540" s="714"/>
      <c r="H540" s="714">
        <f t="shared" ref="H540:H541" si="21">E540*(1-0.05)</f>
        <v>0</v>
      </c>
      <c r="I540" s="714"/>
      <c r="J540" s="714"/>
      <c r="K540" s="714">
        <f t="shared" ref="K540:K541" si="22">E540*(1+0.05)</f>
        <v>0</v>
      </c>
      <c r="L540" s="714"/>
      <c r="M540" s="714"/>
      <c r="N540" s="714"/>
      <c r="O540" s="742" t="str">
        <f t="shared" ref="O540:O546" si="23">IF(AND(M540 &gt;= H540, M540 &lt;= K540), "Pass", "Fail")</f>
        <v>Pass</v>
      </c>
      <c r="P540" s="742"/>
      <c r="Q540" s="742"/>
    </row>
    <row r="541" spans="1:17" s="1" customFormat="1" ht="14.5">
      <c r="A541" s="819" t="s">
        <v>243</v>
      </c>
      <c r="B541" s="820"/>
      <c r="C541" s="740" t="s">
        <v>249</v>
      </c>
      <c r="D541" s="740"/>
      <c r="E541" s="714"/>
      <c r="F541" s="714"/>
      <c r="G541" s="714"/>
      <c r="H541" s="714">
        <f t="shared" si="21"/>
        <v>0</v>
      </c>
      <c r="I541" s="714"/>
      <c r="J541" s="714"/>
      <c r="K541" s="714">
        <f t="shared" si="22"/>
        <v>0</v>
      </c>
      <c r="L541" s="714"/>
      <c r="M541" s="714"/>
      <c r="N541" s="714"/>
      <c r="O541" s="742" t="str">
        <f t="shared" si="23"/>
        <v>Pass</v>
      </c>
      <c r="P541" s="742"/>
      <c r="Q541" s="742"/>
    </row>
    <row r="542" spans="1:17" s="1" customFormat="1" ht="14.5">
      <c r="A542" s="757" t="s">
        <v>244</v>
      </c>
      <c r="B542" s="757"/>
      <c r="C542" s="740" t="s">
        <v>250</v>
      </c>
      <c r="D542" s="740"/>
      <c r="E542" s="714"/>
      <c r="F542" s="714"/>
      <c r="G542" s="714"/>
      <c r="H542" s="714">
        <f>E542*(1-0.045)</f>
        <v>0</v>
      </c>
      <c r="I542" s="714"/>
      <c r="J542" s="714"/>
      <c r="K542" s="714">
        <f>E542*(1+0.045)</f>
        <v>0</v>
      </c>
      <c r="L542" s="714"/>
      <c r="M542" s="714"/>
      <c r="N542" s="714"/>
      <c r="O542" s="742" t="str">
        <f t="shared" si="23"/>
        <v>Pass</v>
      </c>
      <c r="P542" s="742"/>
      <c r="Q542" s="742"/>
    </row>
    <row r="543" spans="1:17" s="1" customFormat="1" ht="14.5">
      <c r="A543" s="804" t="s">
        <v>245</v>
      </c>
      <c r="B543" s="804"/>
      <c r="C543" s="740" t="s">
        <v>250</v>
      </c>
      <c r="D543" s="740"/>
      <c r="E543" s="714"/>
      <c r="F543" s="714"/>
      <c r="G543" s="714"/>
      <c r="H543" s="714">
        <f t="shared" ref="H543:H544" si="24">E543*(1-0.05)</f>
        <v>0</v>
      </c>
      <c r="I543" s="714"/>
      <c r="J543" s="714"/>
      <c r="K543" s="714">
        <f t="shared" ref="K543:K544" si="25">E543*(1+0.05)</f>
        <v>0</v>
      </c>
      <c r="L543" s="714"/>
      <c r="M543" s="714"/>
      <c r="N543" s="714"/>
      <c r="O543" s="742" t="str">
        <f t="shared" si="23"/>
        <v>Pass</v>
      </c>
      <c r="P543" s="742"/>
      <c r="Q543" s="742"/>
    </row>
    <row r="544" spans="1:17" s="1" customFormat="1" ht="14.5">
      <c r="A544" s="802" t="s">
        <v>320</v>
      </c>
      <c r="B544" s="802"/>
      <c r="C544" s="740" t="s">
        <v>251</v>
      </c>
      <c r="D544" s="740"/>
      <c r="E544" s="714"/>
      <c r="F544" s="714"/>
      <c r="G544" s="714"/>
      <c r="H544" s="714">
        <f t="shared" si="24"/>
        <v>0</v>
      </c>
      <c r="I544" s="714"/>
      <c r="J544" s="714"/>
      <c r="K544" s="714">
        <f t="shared" si="25"/>
        <v>0</v>
      </c>
      <c r="L544" s="714"/>
      <c r="M544" s="714"/>
      <c r="N544" s="714"/>
      <c r="O544" s="742" t="str">
        <f t="shared" si="23"/>
        <v>Pass</v>
      </c>
      <c r="P544" s="742"/>
      <c r="Q544" s="742"/>
    </row>
    <row r="545" spans="1:17" s="1" customFormat="1" ht="14.5">
      <c r="A545" s="757" t="s">
        <v>246</v>
      </c>
      <c r="B545" s="757"/>
      <c r="C545" s="740" t="s">
        <v>250</v>
      </c>
      <c r="D545" s="740"/>
      <c r="E545" s="714"/>
      <c r="F545" s="714"/>
      <c r="G545" s="714"/>
      <c r="H545" s="714">
        <f>E545*(1-0.038)</f>
        <v>0</v>
      </c>
      <c r="I545" s="714"/>
      <c r="J545" s="714"/>
      <c r="K545" s="714">
        <f>E545*(1+0.038)</f>
        <v>0</v>
      </c>
      <c r="L545" s="714"/>
      <c r="M545" s="714"/>
      <c r="N545" s="714"/>
      <c r="O545" s="742" t="str">
        <f t="shared" si="23"/>
        <v>Pass</v>
      </c>
      <c r="P545" s="742"/>
      <c r="Q545" s="742"/>
    </row>
    <row r="546" spans="1:17" s="1" customFormat="1" ht="14.5">
      <c r="A546" s="757" t="s">
        <v>321</v>
      </c>
      <c r="B546" s="757"/>
      <c r="C546" s="740" t="s">
        <v>250</v>
      </c>
      <c r="D546" s="740"/>
      <c r="E546" s="714"/>
      <c r="F546" s="714"/>
      <c r="G546" s="714"/>
      <c r="H546" s="714">
        <f t="shared" ref="H546" si="26">E546*(1-0.05)</f>
        <v>0</v>
      </c>
      <c r="I546" s="714"/>
      <c r="J546" s="714"/>
      <c r="K546" s="714">
        <f t="shared" ref="K546" si="27">E546*(1+0.05)</f>
        <v>0</v>
      </c>
      <c r="L546" s="714"/>
      <c r="M546" s="714"/>
      <c r="N546" s="714"/>
      <c r="O546" s="742" t="str">
        <f t="shared" si="23"/>
        <v>Pass</v>
      </c>
      <c r="P546" s="742"/>
      <c r="Q546" s="742"/>
    </row>
    <row r="547" spans="1:17" s="1" customFormat="1">
      <c r="A547" s="805" t="s">
        <v>248</v>
      </c>
      <c r="B547" s="806"/>
      <c r="C547" s="806"/>
      <c r="D547" s="806"/>
      <c r="E547" s="806"/>
      <c r="F547" s="806"/>
      <c r="G547" s="806"/>
      <c r="H547" s="806"/>
      <c r="I547" s="806"/>
      <c r="J547" s="806"/>
      <c r="K547" s="806"/>
      <c r="L547" s="806"/>
      <c r="M547" s="806"/>
      <c r="N547" s="806"/>
      <c r="O547" s="806"/>
      <c r="P547" s="806"/>
      <c r="Q547" s="807"/>
    </row>
    <row r="548" spans="1:17" s="1" customFormat="1">
      <c r="A548" s="808" t="s">
        <v>139</v>
      </c>
      <c r="B548" s="808"/>
      <c r="C548" s="808"/>
      <c r="D548" s="808"/>
      <c r="E548" s="808"/>
      <c r="F548" s="808"/>
      <c r="G548" s="808"/>
      <c r="H548" s="809"/>
      <c r="I548" s="810"/>
      <c r="J548" s="810"/>
      <c r="K548" s="810"/>
      <c r="L548" s="810"/>
      <c r="M548" s="810"/>
      <c r="N548" s="810"/>
      <c r="O548" s="810"/>
      <c r="P548" s="810"/>
      <c r="Q548" s="811"/>
    </row>
    <row r="549" spans="1:17" s="1" customFormat="1" ht="14.5">
      <c r="A549" s="812" t="s">
        <v>140</v>
      </c>
      <c r="B549" s="812"/>
      <c r="C549" s="812" t="s">
        <v>146</v>
      </c>
      <c r="D549" s="812"/>
      <c r="E549" s="812" t="s">
        <v>145</v>
      </c>
      <c r="F549" s="812"/>
      <c r="G549" s="812"/>
      <c r="H549" s="813" t="s">
        <v>144</v>
      </c>
      <c r="I549" s="813"/>
      <c r="J549" s="813"/>
      <c r="K549" s="714" t="s">
        <v>143</v>
      </c>
      <c r="L549" s="714"/>
      <c r="M549" s="714" t="s">
        <v>142</v>
      </c>
      <c r="N549" s="714"/>
      <c r="O549" s="813" t="s">
        <v>141</v>
      </c>
      <c r="P549" s="813"/>
      <c r="Q549" s="813"/>
    </row>
    <row r="550" spans="1:17" s="1" customFormat="1" ht="14.5">
      <c r="A550" s="804" t="s">
        <v>242</v>
      </c>
      <c r="B550" s="804"/>
      <c r="C550" s="740" t="s">
        <v>249</v>
      </c>
      <c r="D550" s="740"/>
      <c r="E550" s="714"/>
      <c r="F550" s="714"/>
      <c r="G550" s="714"/>
      <c r="H550" s="714">
        <f>E550*(1-0.05)</f>
        <v>0</v>
      </c>
      <c r="I550" s="714"/>
      <c r="J550" s="714"/>
      <c r="K550" s="714">
        <f>E550*(1+0.05)</f>
        <v>0</v>
      </c>
      <c r="L550" s="714"/>
      <c r="M550" s="714"/>
      <c r="N550" s="714"/>
      <c r="O550" s="742" t="str">
        <f>IF(AND(M550 &gt;= H550, M550 &lt;= K550), "Pass", "Fail")</f>
        <v>Pass</v>
      </c>
      <c r="P550" s="742"/>
      <c r="Q550" s="742"/>
    </row>
    <row r="551" spans="1:17" s="1" customFormat="1" ht="14.5">
      <c r="A551" s="756" t="s">
        <v>382</v>
      </c>
      <c r="B551" s="757"/>
      <c r="C551" s="740" t="s">
        <v>249</v>
      </c>
      <c r="D551" s="740"/>
      <c r="E551" s="714"/>
      <c r="F551" s="714"/>
      <c r="G551" s="714"/>
      <c r="H551" s="714">
        <f t="shared" ref="H551:H552" si="28">E551*(1-0.05)</f>
        <v>0</v>
      </c>
      <c r="I551" s="714"/>
      <c r="J551" s="714"/>
      <c r="K551" s="714">
        <f t="shared" ref="K551:K552" si="29">E551*(1+0.05)</f>
        <v>0</v>
      </c>
      <c r="L551" s="714"/>
      <c r="M551" s="741">
        <v>48.020854977535102</v>
      </c>
      <c r="N551" s="714"/>
      <c r="O551" s="742" t="str">
        <f t="shared" ref="O551:O557" si="30">IF(AND(M551 &gt;= H551, M551 &lt;= K551), "Pass", "Fail")</f>
        <v>Fail</v>
      </c>
      <c r="P551" s="742"/>
      <c r="Q551" s="742"/>
    </row>
    <row r="552" spans="1:17" s="1" customFormat="1" ht="14.5">
      <c r="A552" s="819" t="s">
        <v>243</v>
      </c>
      <c r="B552" s="820"/>
      <c r="C552" s="740" t="s">
        <v>249</v>
      </c>
      <c r="D552" s="740"/>
      <c r="E552" s="714"/>
      <c r="F552" s="714"/>
      <c r="G552" s="714"/>
      <c r="H552" s="714">
        <f t="shared" si="28"/>
        <v>0</v>
      </c>
      <c r="I552" s="714"/>
      <c r="J552" s="714"/>
      <c r="K552" s="714">
        <f t="shared" si="29"/>
        <v>0</v>
      </c>
      <c r="L552" s="714"/>
      <c r="M552" s="741">
        <v>168.75885627897901</v>
      </c>
      <c r="N552" s="714"/>
      <c r="O552" s="742" t="str">
        <f t="shared" si="30"/>
        <v>Fail</v>
      </c>
      <c r="P552" s="742"/>
      <c r="Q552" s="742"/>
    </row>
    <row r="553" spans="1:17" s="1" customFormat="1" ht="14.5">
      <c r="A553" s="757" t="s">
        <v>244</v>
      </c>
      <c r="B553" s="757"/>
      <c r="C553" s="740" t="s">
        <v>250</v>
      </c>
      <c r="D553" s="740"/>
      <c r="E553" s="714"/>
      <c r="F553" s="714"/>
      <c r="G553" s="714"/>
      <c r="H553" s="714">
        <f>E553*(1-0.045)</f>
        <v>0</v>
      </c>
      <c r="I553" s="714"/>
      <c r="J553" s="714"/>
      <c r="K553" s="714">
        <f>E553*(1+0.045)</f>
        <v>0</v>
      </c>
      <c r="L553" s="714"/>
      <c r="M553" s="741">
        <v>1.26912716652159</v>
      </c>
      <c r="N553" s="714"/>
      <c r="O553" s="742" t="str">
        <f t="shared" si="30"/>
        <v>Fail</v>
      </c>
      <c r="P553" s="742"/>
      <c r="Q553" s="742"/>
    </row>
    <row r="554" spans="1:17" s="1" customFormat="1" ht="14.5">
      <c r="A554" s="804" t="s">
        <v>245</v>
      </c>
      <c r="B554" s="804"/>
      <c r="C554" s="740" t="s">
        <v>250</v>
      </c>
      <c r="D554" s="740"/>
      <c r="E554" s="714"/>
      <c r="F554" s="714"/>
      <c r="G554" s="714"/>
      <c r="H554" s="714">
        <f t="shared" ref="H554:H555" si="31">E554*(1-0.05)</f>
        <v>0</v>
      </c>
      <c r="I554" s="714"/>
      <c r="J554" s="714"/>
      <c r="K554" s="714">
        <f t="shared" ref="K554:K555" si="32">E554*(1+0.05)</f>
        <v>0</v>
      </c>
      <c r="L554" s="714"/>
      <c r="M554" s="714"/>
      <c r="N554" s="714"/>
      <c r="O554" s="742" t="str">
        <f t="shared" si="30"/>
        <v>Pass</v>
      </c>
      <c r="P554" s="742"/>
      <c r="Q554" s="742"/>
    </row>
    <row r="555" spans="1:17" s="1" customFormat="1" ht="14.5">
      <c r="A555" s="802" t="s">
        <v>320</v>
      </c>
      <c r="B555" s="802"/>
      <c r="C555" s="740" t="s">
        <v>251</v>
      </c>
      <c r="D555" s="740"/>
      <c r="E555" s="714"/>
      <c r="F555" s="714"/>
      <c r="G555" s="714"/>
      <c r="H555" s="714">
        <f t="shared" si="31"/>
        <v>0</v>
      </c>
      <c r="I555" s="714"/>
      <c r="J555" s="714"/>
      <c r="K555" s="714">
        <f t="shared" si="32"/>
        <v>0</v>
      </c>
      <c r="L555" s="714"/>
      <c r="M555" s="714"/>
      <c r="N555" s="714"/>
      <c r="O555" s="742" t="str">
        <f t="shared" si="30"/>
        <v>Pass</v>
      </c>
      <c r="P555" s="742"/>
      <c r="Q555" s="742"/>
    </row>
    <row r="556" spans="1:17" s="1" customFormat="1" ht="14.5">
      <c r="A556" s="757" t="s">
        <v>246</v>
      </c>
      <c r="B556" s="757"/>
      <c r="C556" s="740" t="s">
        <v>250</v>
      </c>
      <c r="D556" s="740"/>
      <c r="E556" s="714"/>
      <c r="F556" s="714"/>
      <c r="G556" s="714"/>
      <c r="H556" s="714">
        <f>E556*(1-0.038)</f>
        <v>0</v>
      </c>
      <c r="I556" s="714"/>
      <c r="J556" s="714"/>
      <c r="K556" s="714">
        <f>E556*(1+0.038)</f>
        <v>0</v>
      </c>
      <c r="L556" s="714"/>
      <c r="M556" s="741">
        <v>2.1878431294359699</v>
      </c>
      <c r="N556" s="714"/>
      <c r="O556" s="742" t="str">
        <f t="shared" si="30"/>
        <v>Fail</v>
      </c>
      <c r="P556" s="742"/>
      <c r="Q556" s="742"/>
    </row>
    <row r="557" spans="1:17" s="1" customFormat="1" ht="14.5">
      <c r="A557" s="757" t="s">
        <v>321</v>
      </c>
      <c r="B557" s="757"/>
      <c r="C557" s="740" t="s">
        <v>250</v>
      </c>
      <c r="D557" s="740"/>
      <c r="E557" s="714"/>
      <c r="F557" s="714"/>
      <c r="G557" s="714"/>
      <c r="H557" s="714">
        <f t="shared" ref="H557" si="33">E557*(1-0.05)</f>
        <v>0</v>
      </c>
      <c r="I557" s="714"/>
      <c r="J557" s="714"/>
      <c r="K557" s="714">
        <f t="shared" ref="K557" si="34">E557*(1+0.05)</f>
        <v>0</v>
      </c>
      <c r="L557" s="714"/>
      <c r="M557" s="714"/>
      <c r="N557" s="714"/>
      <c r="O557" s="742" t="str">
        <f t="shared" si="30"/>
        <v>Pass</v>
      </c>
      <c r="P557" s="742"/>
      <c r="Q557" s="742"/>
    </row>
    <row r="558" spans="1:17" s="1" customFormat="1">
      <c r="A558" s="808" t="s">
        <v>147</v>
      </c>
      <c r="B558" s="808"/>
      <c r="C558" s="808"/>
      <c r="D558" s="808"/>
      <c r="E558" s="808"/>
      <c r="F558" s="808"/>
      <c r="G558" s="808"/>
      <c r="H558" s="809"/>
      <c r="I558" s="810"/>
      <c r="J558" s="810"/>
      <c r="K558" s="810"/>
      <c r="L558" s="810"/>
      <c r="M558" s="810"/>
      <c r="N558" s="810"/>
      <c r="O558" s="810"/>
      <c r="P558" s="810"/>
      <c r="Q558" s="811"/>
    </row>
    <row r="559" spans="1:17" s="1" customFormat="1" ht="14.5">
      <c r="A559" s="812" t="s">
        <v>140</v>
      </c>
      <c r="B559" s="812"/>
      <c r="C559" s="812" t="s">
        <v>146</v>
      </c>
      <c r="D559" s="812"/>
      <c r="E559" s="812" t="s">
        <v>145</v>
      </c>
      <c r="F559" s="812"/>
      <c r="G559" s="812"/>
      <c r="H559" s="813" t="s">
        <v>144</v>
      </c>
      <c r="I559" s="813"/>
      <c r="J559" s="813"/>
      <c r="K559" s="714" t="s">
        <v>143</v>
      </c>
      <c r="L559" s="714"/>
      <c r="M559" s="714" t="s">
        <v>142</v>
      </c>
      <c r="N559" s="714"/>
      <c r="O559" s="813" t="s">
        <v>304</v>
      </c>
      <c r="P559" s="813"/>
      <c r="Q559" s="813"/>
    </row>
    <row r="560" spans="1:17" s="1" customFormat="1" ht="14.5">
      <c r="A560" s="804" t="s">
        <v>242</v>
      </c>
      <c r="B560" s="804"/>
      <c r="C560" s="740" t="s">
        <v>249</v>
      </c>
      <c r="D560" s="740"/>
      <c r="E560" s="714"/>
      <c r="F560" s="714"/>
      <c r="G560" s="714"/>
      <c r="H560" s="714">
        <f>E560*(1-0.05)</f>
        <v>0</v>
      </c>
      <c r="I560" s="714"/>
      <c r="J560" s="714"/>
      <c r="K560" s="714">
        <f>E560*(1+0.05)</f>
        <v>0</v>
      </c>
      <c r="L560" s="714"/>
      <c r="M560" s="714"/>
      <c r="N560" s="714"/>
      <c r="O560" s="742" t="str">
        <f>IF(AND(M560 &gt;= H560, M560 &lt;= K560), "Pass", "Fail")</f>
        <v>Pass</v>
      </c>
      <c r="P560" s="742"/>
      <c r="Q560" s="742"/>
    </row>
    <row r="561" spans="1:17" s="1" customFormat="1" ht="14.5">
      <c r="A561" s="756" t="s">
        <v>382</v>
      </c>
      <c r="B561" s="757"/>
      <c r="C561" s="740" t="s">
        <v>249</v>
      </c>
      <c r="D561" s="740"/>
      <c r="E561" s="714"/>
      <c r="F561" s="714"/>
      <c r="G561" s="714"/>
      <c r="H561" s="714">
        <f t="shared" ref="H561:H562" si="35">E561*(1-0.05)</f>
        <v>0</v>
      </c>
      <c r="I561" s="714"/>
      <c r="J561" s="714"/>
      <c r="K561" s="714">
        <f t="shared" ref="K561:K562" si="36">E561*(1+0.05)</f>
        <v>0</v>
      </c>
      <c r="L561" s="714"/>
      <c r="M561" s="714"/>
      <c r="N561" s="714"/>
      <c r="O561" s="742" t="str">
        <f t="shared" ref="O561:O567" si="37">IF(AND(M561 &gt;= H561, M561 &lt;= K561), "Pass", "Fail")</f>
        <v>Pass</v>
      </c>
      <c r="P561" s="742"/>
      <c r="Q561" s="742"/>
    </row>
    <row r="562" spans="1:17" s="1" customFormat="1" ht="14.5">
      <c r="A562" s="819" t="s">
        <v>243</v>
      </c>
      <c r="B562" s="820"/>
      <c r="C562" s="740" t="s">
        <v>249</v>
      </c>
      <c r="D562" s="740"/>
      <c r="E562" s="714"/>
      <c r="F562" s="714"/>
      <c r="G562" s="714"/>
      <c r="H562" s="714">
        <f t="shared" si="35"/>
        <v>0</v>
      </c>
      <c r="I562" s="714"/>
      <c r="J562" s="714"/>
      <c r="K562" s="714">
        <f t="shared" si="36"/>
        <v>0</v>
      </c>
      <c r="L562" s="714"/>
      <c r="M562" s="714"/>
      <c r="N562" s="714"/>
      <c r="O562" s="742" t="str">
        <f t="shared" si="37"/>
        <v>Pass</v>
      </c>
      <c r="P562" s="742"/>
      <c r="Q562" s="742"/>
    </row>
    <row r="563" spans="1:17" s="1" customFormat="1" ht="14.5">
      <c r="A563" s="757" t="s">
        <v>244</v>
      </c>
      <c r="B563" s="757"/>
      <c r="C563" s="740" t="s">
        <v>250</v>
      </c>
      <c r="D563" s="740"/>
      <c r="E563" s="714"/>
      <c r="F563" s="714"/>
      <c r="G563" s="714"/>
      <c r="H563" s="714">
        <f>E563*(1-0.045)</f>
        <v>0</v>
      </c>
      <c r="I563" s="714"/>
      <c r="J563" s="714"/>
      <c r="K563" s="714">
        <f>E563*(1+0.045)</f>
        <v>0</v>
      </c>
      <c r="L563" s="714"/>
      <c r="M563" s="714"/>
      <c r="N563" s="714"/>
      <c r="O563" s="742" t="str">
        <f t="shared" si="37"/>
        <v>Pass</v>
      </c>
      <c r="P563" s="742"/>
      <c r="Q563" s="742"/>
    </row>
    <row r="564" spans="1:17" s="1" customFormat="1" ht="14.5">
      <c r="A564" s="804" t="s">
        <v>245</v>
      </c>
      <c r="B564" s="804"/>
      <c r="C564" s="740" t="s">
        <v>250</v>
      </c>
      <c r="D564" s="740"/>
      <c r="E564" s="714"/>
      <c r="F564" s="714"/>
      <c r="G564" s="714"/>
      <c r="H564" s="714">
        <f t="shared" ref="H564:H565" si="38">E564*(1-0.05)</f>
        <v>0</v>
      </c>
      <c r="I564" s="714"/>
      <c r="J564" s="714"/>
      <c r="K564" s="714">
        <f t="shared" ref="K564:K565" si="39">E564*(1+0.05)</f>
        <v>0</v>
      </c>
      <c r="L564" s="714"/>
      <c r="M564" s="714"/>
      <c r="N564" s="714"/>
      <c r="O564" s="742" t="str">
        <f t="shared" si="37"/>
        <v>Pass</v>
      </c>
      <c r="P564" s="742"/>
      <c r="Q564" s="742"/>
    </row>
    <row r="565" spans="1:17" s="1" customFormat="1" ht="14.5">
      <c r="A565" s="802" t="s">
        <v>320</v>
      </c>
      <c r="B565" s="802"/>
      <c r="C565" s="740" t="s">
        <v>251</v>
      </c>
      <c r="D565" s="740"/>
      <c r="E565" s="714"/>
      <c r="F565" s="714"/>
      <c r="G565" s="714"/>
      <c r="H565" s="714">
        <f t="shared" si="38"/>
        <v>0</v>
      </c>
      <c r="I565" s="714"/>
      <c r="J565" s="714"/>
      <c r="K565" s="714">
        <f t="shared" si="39"/>
        <v>0</v>
      </c>
      <c r="L565" s="714"/>
      <c r="M565" s="714"/>
      <c r="N565" s="714"/>
      <c r="O565" s="742" t="str">
        <f t="shared" si="37"/>
        <v>Pass</v>
      </c>
      <c r="P565" s="742"/>
      <c r="Q565" s="742"/>
    </row>
    <row r="566" spans="1:17" s="1" customFormat="1" ht="14.5">
      <c r="A566" s="757" t="s">
        <v>246</v>
      </c>
      <c r="B566" s="757"/>
      <c r="C566" s="740" t="s">
        <v>250</v>
      </c>
      <c r="D566" s="740"/>
      <c r="E566" s="714"/>
      <c r="F566" s="714"/>
      <c r="G566" s="714"/>
      <c r="H566" s="714">
        <f>E566*(1-0.038)</f>
        <v>0</v>
      </c>
      <c r="I566" s="714"/>
      <c r="J566" s="714"/>
      <c r="K566" s="714">
        <f>E566*(1+0.038)</f>
        <v>0</v>
      </c>
      <c r="L566" s="714"/>
      <c r="M566" s="714"/>
      <c r="N566" s="714"/>
      <c r="O566" s="742" t="str">
        <f t="shared" si="37"/>
        <v>Pass</v>
      </c>
      <c r="P566" s="742"/>
      <c r="Q566" s="742"/>
    </row>
    <row r="567" spans="1:17" s="1" customFormat="1" ht="14.5">
      <c r="A567" s="757" t="s">
        <v>321</v>
      </c>
      <c r="B567" s="757"/>
      <c r="C567" s="740" t="s">
        <v>250</v>
      </c>
      <c r="D567" s="740"/>
      <c r="E567" s="714"/>
      <c r="F567" s="714"/>
      <c r="G567" s="714"/>
      <c r="H567" s="714">
        <f t="shared" ref="H567" si="40">E567*(1-0.05)</f>
        <v>0</v>
      </c>
      <c r="I567" s="714"/>
      <c r="J567" s="714"/>
      <c r="K567" s="714">
        <f t="shared" ref="K567" si="41">E567*(1+0.05)</f>
        <v>0</v>
      </c>
      <c r="L567" s="714"/>
      <c r="M567" s="714"/>
      <c r="N567" s="714"/>
      <c r="O567" s="742" t="str">
        <f t="shared" si="37"/>
        <v>Pass</v>
      </c>
      <c r="P567" s="742"/>
      <c r="Q567" s="742"/>
    </row>
    <row r="568" spans="1:17" s="3" customFormat="1" ht="30" customHeight="1">
      <c r="A568" s="896" t="s">
        <v>379</v>
      </c>
      <c r="B568" s="896"/>
      <c r="C568" s="896"/>
      <c r="D568" s="896"/>
      <c r="E568" s="896"/>
      <c r="F568" s="896"/>
      <c r="G568" s="896"/>
      <c r="H568" s="896"/>
      <c r="I568" s="896"/>
      <c r="J568" s="896"/>
      <c r="K568" s="896"/>
      <c r="L568" s="896"/>
      <c r="M568" s="896"/>
      <c r="N568" s="896"/>
      <c r="O568" s="896"/>
      <c r="P568" s="896"/>
      <c r="Q568" s="896"/>
    </row>
    <row r="569" spans="1:17" ht="14.5">
      <c r="A569" s="963" t="s">
        <v>377</v>
      </c>
      <c r="B569" s="964"/>
      <c r="C569" s="964"/>
      <c r="D569" s="964"/>
      <c r="E569" s="964"/>
      <c r="F569" s="964"/>
      <c r="G569" s="964"/>
      <c r="H569" s="964"/>
      <c r="I569" s="964"/>
      <c r="J569" s="964"/>
      <c r="K569" s="964"/>
      <c r="L569" s="964"/>
      <c r="M569" s="964"/>
      <c r="N569" s="964"/>
      <c r="O569" s="964"/>
      <c r="P569" s="964"/>
      <c r="Q569" s="965"/>
    </row>
    <row r="570" spans="1:17" s="1" customFormat="1" ht="14.5">
      <c r="A570" s="734" t="s">
        <v>359</v>
      </c>
      <c r="B570" s="735"/>
      <c r="C570" s="735"/>
      <c r="D570" s="735"/>
      <c r="E570" s="735"/>
      <c r="F570" s="735"/>
      <c r="G570" s="735"/>
      <c r="H570" s="735"/>
      <c r="I570" s="735"/>
      <c r="J570" s="735"/>
      <c r="K570" s="735"/>
      <c r="L570" s="735"/>
      <c r="M570" s="735"/>
      <c r="N570" s="735"/>
      <c r="O570" s="735"/>
      <c r="P570" s="735"/>
      <c r="Q570" s="736"/>
    </row>
    <row r="571" spans="1:17" ht="89.25" customHeight="1">
      <c r="A571" s="918" t="s">
        <v>353</v>
      </c>
      <c r="B571" s="918"/>
      <c r="C571" s="918"/>
      <c r="D571" s="918"/>
      <c r="E571" s="918"/>
      <c r="F571" s="918"/>
      <c r="G571" s="918"/>
      <c r="H571" s="918"/>
      <c r="I571" s="918"/>
      <c r="J571" s="918"/>
      <c r="K571" s="918"/>
      <c r="L571" s="918"/>
      <c r="M571" s="918"/>
      <c r="N571" s="918"/>
      <c r="O571" s="918"/>
      <c r="P571" s="918"/>
      <c r="Q571" s="918"/>
    </row>
    <row r="572" spans="1:17" ht="14.5">
      <c r="A572" s="974" t="s">
        <v>148</v>
      </c>
      <c r="B572" s="975"/>
      <c r="C572" s="975"/>
      <c r="D572" s="975"/>
      <c r="E572" s="975"/>
      <c r="F572" s="975"/>
      <c r="G572" s="975"/>
      <c r="H572" s="974"/>
      <c r="I572" s="975"/>
      <c r="J572" s="975"/>
      <c r="K572" s="975"/>
      <c r="L572" s="975"/>
      <c r="M572" s="975"/>
      <c r="N572" s="975"/>
      <c r="O572" s="975"/>
      <c r="P572" s="975"/>
      <c r="Q572" s="976"/>
    </row>
    <row r="573" spans="1:17" ht="14.5">
      <c r="A573" s="720" t="s">
        <v>150</v>
      </c>
      <c r="B573" s="720"/>
      <c r="C573" s="714" t="s">
        <v>207</v>
      </c>
      <c r="D573" s="714"/>
      <c r="E573" s="714"/>
      <c r="F573" s="714"/>
      <c r="G573" s="714"/>
      <c r="H573" s="714" t="s">
        <v>152</v>
      </c>
      <c r="I573" s="714"/>
      <c r="J573" s="714"/>
      <c r="K573" s="714"/>
      <c r="L573" s="714"/>
      <c r="M573" s="714" t="s">
        <v>208</v>
      </c>
      <c r="N573" s="714"/>
      <c r="O573" s="714"/>
      <c r="P573" s="714"/>
      <c r="Q573" s="714"/>
    </row>
    <row r="574" spans="1:17" ht="14.5">
      <c r="A574" s="720" t="s">
        <v>151</v>
      </c>
      <c r="B574" s="720"/>
      <c r="C574" s="714"/>
      <c r="D574" s="714"/>
      <c r="E574" s="714"/>
      <c r="F574" s="714"/>
      <c r="G574" s="714"/>
      <c r="H574" s="714"/>
      <c r="I574" s="714"/>
      <c r="J574" s="714"/>
      <c r="K574" s="714"/>
      <c r="L574" s="714"/>
      <c r="M574" s="714"/>
      <c r="N574" s="714"/>
      <c r="O574" s="714"/>
      <c r="P574" s="714"/>
      <c r="Q574" s="714"/>
    </row>
    <row r="575" spans="1:17" ht="14.5">
      <c r="A575" s="720" t="s">
        <v>153</v>
      </c>
      <c r="B575" s="720"/>
      <c r="C575" s="714"/>
      <c r="D575" s="714"/>
      <c r="E575" s="714"/>
      <c r="F575" s="714"/>
      <c r="G575" s="714"/>
      <c r="H575" s="714"/>
      <c r="I575" s="714"/>
      <c r="J575" s="714"/>
      <c r="K575" s="714"/>
      <c r="L575" s="714"/>
      <c r="M575" s="714"/>
      <c r="N575" s="714"/>
      <c r="O575" s="714"/>
      <c r="P575" s="714"/>
      <c r="Q575" s="714"/>
    </row>
    <row r="576" spans="1:17" ht="14.5">
      <c r="A576" s="720" t="s">
        <v>154</v>
      </c>
      <c r="B576" s="720"/>
      <c r="C576" s="714"/>
      <c r="D576" s="714"/>
      <c r="E576" s="714"/>
      <c r="F576" s="714"/>
      <c r="G576" s="714"/>
      <c r="H576" s="714"/>
      <c r="I576" s="714"/>
      <c r="J576" s="714"/>
      <c r="K576" s="714"/>
      <c r="L576" s="714"/>
      <c r="M576" s="714"/>
      <c r="N576" s="714"/>
      <c r="O576" s="714"/>
      <c r="P576" s="714"/>
      <c r="Q576" s="714"/>
    </row>
    <row r="577" spans="1:17" ht="14.5">
      <c r="A577" s="720" t="s">
        <v>155</v>
      </c>
      <c r="B577" s="720"/>
      <c r="C577" s="714"/>
      <c r="D577" s="714"/>
      <c r="E577" s="714"/>
      <c r="F577" s="714"/>
      <c r="G577" s="714"/>
      <c r="H577" s="714"/>
      <c r="I577" s="714"/>
      <c r="J577" s="714"/>
      <c r="K577" s="714"/>
      <c r="L577" s="714"/>
      <c r="M577" s="714"/>
      <c r="N577" s="714"/>
      <c r="O577" s="714"/>
      <c r="P577" s="714"/>
      <c r="Q577" s="714"/>
    </row>
    <row r="578" spans="1:17" ht="14.5">
      <c r="A578" s="720" t="s">
        <v>156</v>
      </c>
      <c r="B578" s="720"/>
      <c r="C578" s="715" t="e">
        <f>(C575-C574)/C574</f>
        <v>#DIV/0!</v>
      </c>
      <c r="D578" s="715"/>
      <c r="E578" s="715"/>
      <c r="F578" s="715"/>
      <c r="G578" s="715"/>
      <c r="H578" s="715" t="e">
        <f t="shared" ref="H578" si="42">(H575-H574)/H574</f>
        <v>#DIV/0!</v>
      </c>
      <c r="I578" s="715"/>
      <c r="J578" s="715"/>
      <c r="K578" s="715"/>
      <c r="L578" s="715"/>
      <c r="M578" s="715" t="e">
        <f t="shared" ref="M578" si="43">(M575-M574)/M574</f>
        <v>#DIV/0!</v>
      </c>
      <c r="N578" s="715"/>
      <c r="O578" s="715"/>
      <c r="P578" s="715"/>
      <c r="Q578" s="715"/>
    </row>
    <row r="579" spans="1:17" ht="14.5">
      <c r="A579" s="720" t="s">
        <v>157</v>
      </c>
      <c r="B579" s="720"/>
      <c r="C579" s="715" t="e">
        <f>(C576-C574)/C574</f>
        <v>#DIV/0!</v>
      </c>
      <c r="D579" s="715"/>
      <c r="E579" s="715"/>
      <c r="F579" s="715"/>
      <c r="G579" s="715"/>
      <c r="H579" s="715" t="e">
        <f t="shared" ref="H579" si="44">(H576-H574)/H574</f>
        <v>#DIV/0!</v>
      </c>
      <c r="I579" s="715"/>
      <c r="J579" s="715"/>
      <c r="K579" s="715"/>
      <c r="L579" s="715"/>
      <c r="M579" s="715" t="e">
        <f t="shared" ref="M579" si="45">(M576-M574)/M574</f>
        <v>#DIV/0!</v>
      </c>
      <c r="N579" s="715"/>
      <c r="O579" s="715"/>
      <c r="P579" s="715"/>
      <c r="Q579" s="715"/>
    </row>
    <row r="580" spans="1:17" ht="14.5">
      <c r="A580" s="720" t="s">
        <v>158</v>
      </c>
      <c r="B580" s="720"/>
      <c r="C580" s="728" t="e">
        <f>(C577-C574)/C574</f>
        <v>#DIV/0!</v>
      </c>
      <c r="D580" s="729"/>
      <c r="E580" s="729"/>
      <c r="F580" s="729"/>
      <c r="G580" s="730"/>
      <c r="H580" s="728" t="e">
        <f t="shared" ref="H580" si="46">(H577-H574)/H574</f>
        <v>#DIV/0!</v>
      </c>
      <c r="I580" s="729"/>
      <c r="J580" s="729"/>
      <c r="K580" s="729"/>
      <c r="L580" s="730"/>
      <c r="M580" s="728" t="e">
        <f t="shared" ref="M580" si="47">(M577-M574)/M574</f>
        <v>#DIV/0!</v>
      </c>
      <c r="N580" s="729"/>
      <c r="O580" s="729"/>
      <c r="P580" s="729"/>
      <c r="Q580" s="730"/>
    </row>
    <row r="581" spans="1:17" ht="14.5">
      <c r="A581" s="720" t="s">
        <v>159</v>
      </c>
      <c r="B581" s="720"/>
      <c r="C581" s="714" t="s">
        <v>160</v>
      </c>
      <c r="D581" s="714"/>
      <c r="E581" s="714"/>
      <c r="F581" s="714"/>
      <c r="G581" s="714"/>
      <c r="H581" s="714" t="s">
        <v>160</v>
      </c>
      <c r="I581" s="714"/>
      <c r="J581" s="714"/>
      <c r="K581" s="714"/>
      <c r="L581" s="714"/>
      <c r="M581" s="714" t="s">
        <v>160</v>
      </c>
      <c r="N581" s="714"/>
      <c r="O581" s="714"/>
      <c r="P581" s="714"/>
      <c r="Q581" s="714"/>
    </row>
    <row r="582" spans="1:17" s="1" customFormat="1">
      <c r="A582" s="721" t="s">
        <v>44</v>
      </c>
      <c r="B582" s="721"/>
      <c r="C582" s="723" t="str">
        <f>IF((COUNTIF(C578:C580, "&gt;3%") + COUNTIF(C578:C580, "&lt;-3%") &gt;=  2), "Fail", "Pass")</f>
        <v>Pass</v>
      </c>
      <c r="D582" s="724"/>
      <c r="E582" s="724"/>
      <c r="F582" s="724"/>
      <c r="G582" s="724"/>
      <c r="H582" s="723" t="str">
        <f>IF((COUNTIF(H578:H580, "&gt;3%") + COUNTIF(H578:H580, "&lt;-3%") &gt;=  2), "Fail", "Pass")</f>
        <v>Pass</v>
      </c>
      <c r="I582" s="723"/>
      <c r="J582" s="724"/>
      <c r="K582" s="724"/>
      <c r="L582" s="724"/>
      <c r="M582" s="723" t="str">
        <f t="shared" ref="M582" si="48">IF((COUNTIF(M578:M580, "&gt;3%") + COUNTIF(M578:M580, "&lt;-3%") &gt;=  2), "Fail", "Pass")</f>
        <v>Pass</v>
      </c>
      <c r="N582" s="724"/>
      <c r="O582" s="724"/>
      <c r="P582" s="724"/>
      <c r="Q582" s="724"/>
    </row>
    <row r="583" spans="1:17" s="1" customFormat="1">
      <c r="A583" s="743"/>
      <c r="B583" s="744"/>
      <c r="C583" s="744"/>
      <c r="D583" s="744"/>
      <c r="E583" s="744"/>
      <c r="F583" s="744"/>
      <c r="G583" s="744"/>
      <c r="H583" s="744"/>
      <c r="I583" s="744"/>
      <c r="J583" s="744"/>
      <c r="K583" s="744"/>
      <c r="L583" s="744"/>
      <c r="M583" s="744"/>
      <c r="N583" s="744"/>
      <c r="O583" s="744"/>
      <c r="P583" s="744"/>
      <c r="Q583" s="745"/>
    </row>
    <row r="584" spans="1:17" s="1" customFormat="1">
      <c r="A584" s="746"/>
      <c r="B584" s="747"/>
      <c r="C584" s="747"/>
      <c r="D584" s="747"/>
      <c r="E584" s="747"/>
      <c r="F584" s="747"/>
      <c r="G584" s="747"/>
      <c r="H584" s="747"/>
      <c r="I584" s="747"/>
      <c r="J584" s="747"/>
      <c r="K584" s="747"/>
      <c r="L584" s="747"/>
      <c r="M584" s="747"/>
      <c r="N584" s="747"/>
      <c r="O584" s="747"/>
      <c r="P584" s="747"/>
      <c r="Q584" s="748"/>
    </row>
    <row r="585" spans="1:17" s="1" customFormat="1">
      <c r="A585" s="746"/>
      <c r="B585" s="747"/>
      <c r="C585" s="747"/>
      <c r="D585" s="747"/>
      <c r="E585" s="747"/>
      <c r="F585" s="747"/>
      <c r="G585" s="747"/>
      <c r="H585" s="747"/>
      <c r="I585" s="747"/>
      <c r="J585" s="747"/>
      <c r="K585" s="747"/>
      <c r="L585" s="747"/>
      <c r="M585" s="747"/>
      <c r="N585" s="747"/>
      <c r="O585" s="747"/>
      <c r="P585" s="747"/>
      <c r="Q585" s="748"/>
    </row>
    <row r="586" spans="1:17" s="1" customFormat="1">
      <c r="A586" s="746"/>
      <c r="B586" s="747"/>
      <c r="C586" s="747"/>
      <c r="D586" s="747"/>
      <c r="E586" s="747"/>
      <c r="F586" s="747"/>
      <c r="G586" s="747"/>
      <c r="H586" s="747"/>
      <c r="I586" s="747"/>
      <c r="J586" s="747"/>
      <c r="K586" s="747"/>
      <c r="L586" s="747"/>
      <c r="M586" s="747"/>
      <c r="N586" s="747"/>
      <c r="O586" s="747"/>
      <c r="P586" s="747"/>
      <c r="Q586" s="748"/>
    </row>
    <row r="587" spans="1:17" s="1" customFormat="1">
      <c r="A587" s="749"/>
      <c r="B587" s="750"/>
      <c r="C587" s="750"/>
      <c r="D587" s="750"/>
      <c r="E587" s="750"/>
      <c r="F587" s="750"/>
      <c r="G587" s="750"/>
      <c r="H587" s="750"/>
      <c r="I587" s="750"/>
      <c r="J587" s="750"/>
      <c r="K587" s="750"/>
      <c r="L587" s="750"/>
      <c r="M587" s="750"/>
      <c r="N587" s="750"/>
      <c r="O587" s="750"/>
      <c r="P587" s="750"/>
      <c r="Q587" s="751"/>
    </row>
    <row r="588" spans="1:17">
      <c r="A588" s="731" t="s">
        <v>161</v>
      </c>
      <c r="B588" s="732"/>
      <c r="C588" s="732"/>
      <c r="D588" s="732"/>
      <c r="E588" s="732"/>
      <c r="F588" s="732"/>
      <c r="G588" s="732"/>
      <c r="H588" s="732"/>
      <c r="I588" s="732"/>
      <c r="J588" s="732"/>
      <c r="K588" s="732"/>
      <c r="L588" s="732"/>
      <c r="M588" s="732"/>
      <c r="N588" s="732"/>
      <c r="O588" s="732"/>
      <c r="P588" s="732"/>
      <c r="Q588" s="733"/>
    </row>
    <row r="589" spans="1:17" ht="74.25" customHeight="1">
      <c r="A589" s="896" t="s">
        <v>365</v>
      </c>
      <c r="B589" s="896"/>
      <c r="C589" s="896"/>
      <c r="D589" s="896"/>
      <c r="E589" s="896"/>
      <c r="F589" s="896"/>
      <c r="G589" s="896"/>
      <c r="H589" s="896"/>
      <c r="I589" s="896"/>
      <c r="J589" s="896"/>
      <c r="K589" s="896"/>
      <c r="L589" s="896"/>
      <c r="M589" s="896"/>
      <c r="N589" s="896"/>
      <c r="O589" s="896"/>
      <c r="P589" s="896"/>
      <c r="Q589" s="896"/>
    </row>
    <row r="590" spans="1:17" ht="14.5">
      <c r="A590" s="974" t="s">
        <v>352</v>
      </c>
      <c r="B590" s="975"/>
      <c r="C590" s="975"/>
      <c r="D590" s="975"/>
      <c r="E590" s="975"/>
      <c r="F590" s="975"/>
      <c r="G590" s="975"/>
      <c r="H590" s="974"/>
      <c r="I590" s="975"/>
      <c r="J590" s="975"/>
      <c r="K590" s="975"/>
      <c r="L590" s="975"/>
      <c r="M590" s="975"/>
      <c r="N590" s="975"/>
      <c r="O590" s="975"/>
      <c r="P590" s="975"/>
      <c r="Q590" s="976"/>
    </row>
    <row r="591" spans="1:17" ht="14.5">
      <c r="A591" s="720" t="s">
        <v>150</v>
      </c>
      <c r="B591" s="720"/>
      <c r="C591" s="714" t="s">
        <v>207</v>
      </c>
      <c r="D591" s="714"/>
      <c r="E591" s="714"/>
      <c r="F591" s="714"/>
      <c r="G591" s="714"/>
      <c r="H591" s="714" t="s">
        <v>152</v>
      </c>
      <c r="I591" s="714"/>
      <c r="J591" s="714"/>
      <c r="K591" s="714"/>
      <c r="L591" s="714"/>
      <c r="M591" s="714" t="s">
        <v>208</v>
      </c>
      <c r="N591" s="714"/>
      <c r="O591" s="714"/>
      <c r="P591" s="714"/>
      <c r="Q591" s="714"/>
    </row>
    <row r="592" spans="1:17" ht="14.5">
      <c r="A592" s="720">
        <v>1</v>
      </c>
      <c r="B592" s="720"/>
      <c r="C592" s="714"/>
      <c r="D592" s="714"/>
      <c r="E592" s="714"/>
      <c r="F592" s="714"/>
      <c r="G592" s="714"/>
      <c r="H592" s="714"/>
      <c r="I592" s="714"/>
      <c r="J592" s="714"/>
      <c r="K592" s="714"/>
      <c r="L592" s="714"/>
      <c r="M592" s="714"/>
      <c r="N592" s="714"/>
      <c r="O592" s="714"/>
      <c r="P592" s="714"/>
      <c r="Q592" s="714"/>
    </row>
    <row r="593" spans="1:17" ht="14.5">
      <c r="A593" s="720">
        <v>2</v>
      </c>
      <c r="B593" s="720"/>
      <c r="C593" s="714"/>
      <c r="D593" s="714"/>
      <c r="E593" s="714"/>
      <c r="F593" s="714"/>
      <c r="G593" s="714"/>
      <c r="H593" s="714"/>
      <c r="I593" s="714"/>
      <c r="J593" s="714"/>
      <c r="K593" s="714"/>
      <c r="L593" s="714"/>
      <c r="M593" s="714"/>
      <c r="N593" s="714"/>
      <c r="O593" s="714"/>
      <c r="P593" s="714"/>
      <c r="Q593" s="714"/>
    </row>
    <row r="594" spans="1:17" ht="14.5">
      <c r="A594" s="720">
        <v>3</v>
      </c>
      <c r="B594" s="720"/>
      <c r="C594" s="714"/>
      <c r="D594" s="714"/>
      <c r="E594" s="714"/>
      <c r="F594" s="714"/>
      <c r="G594" s="714"/>
      <c r="H594" s="714"/>
      <c r="I594" s="714"/>
      <c r="J594" s="714"/>
      <c r="K594" s="714"/>
      <c r="L594" s="714"/>
      <c r="M594" s="714"/>
      <c r="N594" s="714"/>
      <c r="O594" s="714"/>
      <c r="P594" s="714"/>
      <c r="Q594" s="714"/>
    </row>
    <row r="595" spans="1:17" ht="14.5">
      <c r="A595" s="720">
        <v>4</v>
      </c>
      <c r="B595" s="720"/>
      <c r="C595" s="714"/>
      <c r="D595" s="714"/>
      <c r="E595" s="714"/>
      <c r="F595" s="714"/>
      <c r="G595" s="714"/>
      <c r="H595" s="714"/>
      <c r="I595" s="714"/>
      <c r="J595" s="714"/>
      <c r="K595" s="714"/>
      <c r="L595" s="714"/>
      <c r="M595" s="714"/>
      <c r="N595" s="714"/>
      <c r="O595" s="714"/>
      <c r="P595" s="714"/>
      <c r="Q595" s="714"/>
    </row>
    <row r="596" spans="1:17" ht="14.5">
      <c r="A596" s="720">
        <v>5</v>
      </c>
      <c r="B596" s="720"/>
      <c r="C596" s="714"/>
      <c r="D596" s="714"/>
      <c r="E596" s="714"/>
      <c r="F596" s="714"/>
      <c r="G596" s="714"/>
      <c r="H596" s="714"/>
      <c r="I596" s="714"/>
      <c r="J596" s="714"/>
      <c r="K596" s="714"/>
      <c r="L596" s="714"/>
      <c r="M596" s="714"/>
      <c r="N596" s="714"/>
      <c r="O596" s="714"/>
      <c r="P596" s="714"/>
      <c r="Q596" s="714"/>
    </row>
    <row r="597" spans="1:17" ht="14.5">
      <c r="A597" s="720">
        <v>6</v>
      </c>
      <c r="B597" s="720"/>
      <c r="C597" s="714"/>
      <c r="D597" s="714"/>
      <c r="E597" s="714"/>
      <c r="F597" s="714"/>
      <c r="G597" s="714"/>
      <c r="H597" s="714"/>
      <c r="I597" s="714"/>
      <c r="J597" s="714"/>
      <c r="K597" s="714"/>
      <c r="L597" s="714"/>
      <c r="M597" s="714"/>
      <c r="N597" s="714"/>
      <c r="O597" s="714"/>
      <c r="P597" s="714"/>
      <c r="Q597" s="714"/>
    </row>
    <row r="598" spans="1:17" ht="14.5">
      <c r="A598" s="720">
        <v>7</v>
      </c>
      <c r="B598" s="720"/>
      <c r="C598" s="714"/>
      <c r="D598" s="714"/>
      <c r="E598" s="714"/>
      <c r="F598" s="714"/>
      <c r="G598" s="714"/>
      <c r="H598" s="714"/>
      <c r="I598" s="714"/>
      <c r="J598" s="714"/>
      <c r="K598" s="714"/>
      <c r="L598" s="714"/>
      <c r="M598" s="714"/>
      <c r="N598" s="714"/>
      <c r="O598" s="714"/>
      <c r="P598" s="714"/>
      <c r="Q598" s="714"/>
    </row>
    <row r="599" spans="1:17" ht="14.5">
      <c r="A599" s="720">
        <v>8</v>
      </c>
      <c r="B599" s="720"/>
      <c r="C599" s="714"/>
      <c r="D599" s="714"/>
      <c r="E599" s="714"/>
      <c r="F599" s="714"/>
      <c r="G599" s="714"/>
      <c r="H599" s="714"/>
      <c r="I599" s="714"/>
      <c r="J599" s="714"/>
      <c r="K599" s="714"/>
      <c r="L599" s="714"/>
      <c r="M599" s="714"/>
      <c r="N599" s="714"/>
      <c r="O599" s="714"/>
      <c r="P599" s="714"/>
      <c r="Q599" s="714"/>
    </row>
    <row r="600" spans="1:17" ht="14.5">
      <c r="A600" s="720">
        <v>9</v>
      </c>
      <c r="B600" s="720"/>
      <c r="C600" s="714"/>
      <c r="D600" s="714"/>
      <c r="E600" s="714"/>
      <c r="F600" s="714"/>
      <c r="G600" s="714"/>
      <c r="H600" s="714"/>
      <c r="I600" s="714"/>
      <c r="J600" s="714"/>
      <c r="K600" s="714"/>
      <c r="L600" s="714"/>
      <c r="M600" s="714"/>
      <c r="N600" s="714"/>
      <c r="O600" s="714"/>
      <c r="P600" s="714"/>
      <c r="Q600" s="714"/>
    </row>
    <row r="601" spans="1:17" ht="14.5">
      <c r="A601" s="720">
        <v>10</v>
      </c>
      <c r="B601" s="720"/>
      <c r="C601" s="714"/>
      <c r="D601" s="714"/>
      <c r="E601" s="714"/>
      <c r="F601" s="714"/>
      <c r="G601" s="714"/>
      <c r="H601" s="714"/>
      <c r="I601" s="714"/>
      <c r="J601" s="714"/>
      <c r="K601" s="714"/>
      <c r="L601" s="714"/>
      <c r="M601" s="714"/>
      <c r="N601" s="714"/>
      <c r="O601" s="714"/>
      <c r="P601" s="714"/>
      <c r="Q601" s="714"/>
    </row>
    <row r="602" spans="1:17" ht="14.5">
      <c r="A602" s="720" t="s">
        <v>162</v>
      </c>
      <c r="B602" s="720"/>
      <c r="C602" s="714" t="e">
        <f>AVERAGE(C592:G601)</f>
        <v>#DIV/0!</v>
      </c>
      <c r="D602" s="714"/>
      <c r="E602" s="714"/>
      <c r="F602" s="714"/>
      <c r="G602" s="714"/>
      <c r="H602" s="714" t="e">
        <f t="shared" ref="H602" si="49">AVERAGE(H592:L601)</f>
        <v>#DIV/0!</v>
      </c>
      <c r="I602" s="714"/>
      <c r="J602" s="714"/>
      <c r="K602" s="714"/>
      <c r="L602" s="714"/>
      <c r="M602" s="714" t="e">
        <f t="shared" ref="M602" si="50">AVERAGE(M592:Q601)</f>
        <v>#DIV/0!</v>
      </c>
      <c r="N602" s="714"/>
      <c r="O602" s="714"/>
      <c r="P602" s="714"/>
      <c r="Q602" s="714"/>
    </row>
    <row r="603" spans="1:17" ht="14.5">
      <c r="A603" s="720" t="s">
        <v>163</v>
      </c>
      <c r="B603" s="720"/>
      <c r="C603" s="714" t="e">
        <f>STDEV(C592:G601)</f>
        <v>#DIV/0!</v>
      </c>
      <c r="D603" s="714"/>
      <c r="E603" s="714"/>
      <c r="F603" s="714"/>
      <c r="G603" s="714"/>
      <c r="H603" s="714" t="e">
        <f t="shared" ref="H603" si="51">STDEV(H592:L601)</f>
        <v>#DIV/0!</v>
      </c>
      <c r="I603" s="714"/>
      <c r="J603" s="714"/>
      <c r="K603" s="714"/>
      <c r="L603" s="714"/>
      <c r="M603" s="714" t="e">
        <f t="shared" ref="M603" si="52">STDEV(M592:Q601)</f>
        <v>#DIV/0!</v>
      </c>
      <c r="N603" s="714"/>
      <c r="O603" s="714"/>
      <c r="P603" s="714"/>
      <c r="Q603" s="714"/>
    </row>
    <row r="604" spans="1:17" ht="15.75" customHeight="1">
      <c r="A604" s="721" t="s">
        <v>164</v>
      </c>
      <c r="B604" s="721"/>
      <c r="C604" s="722" t="e">
        <f>C603/C602</f>
        <v>#DIV/0!</v>
      </c>
      <c r="D604" s="722"/>
      <c r="E604" s="722"/>
      <c r="F604" s="722"/>
      <c r="G604" s="722"/>
      <c r="H604" s="722" t="e">
        <f t="shared" ref="H604" si="53">H603/H602</f>
        <v>#DIV/0!</v>
      </c>
      <c r="I604" s="722"/>
      <c r="J604" s="722"/>
      <c r="K604" s="722"/>
      <c r="L604" s="722"/>
      <c r="M604" s="722" t="e">
        <f t="shared" ref="M604" si="54">M603/M602</f>
        <v>#DIV/0!</v>
      </c>
      <c r="N604" s="722"/>
      <c r="O604" s="722"/>
      <c r="P604" s="722"/>
      <c r="Q604" s="722"/>
    </row>
    <row r="605" spans="1:17">
      <c r="A605" s="721" t="s">
        <v>159</v>
      </c>
      <c r="B605" s="721"/>
      <c r="C605" s="711" t="s">
        <v>165</v>
      </c>
      <c r="D605" s="712"/>
      <c r="E605" s="712"/>
      <c r="F605" s="712"/>
      <c r="G605" s="713"/>
      <c r="H605" s="711" t="s">
        <v>165</v>
      </c>
      <c r="I605" s="712"/>
      <c r="J605" s="712"/>
      <c r="K605" s="712"/>
      <c r="L605" s="713"/>
      <c r="M605" s="711" t="s">
        <v>165</v>
      </c>
      <c r="N605" s="712"/>
      <c r="O605" s="712"/>
      <c r="P605" s="712"/>
      <c r="Q605" s="713"/>
    </row>
    <row r="606" spans="1:17" s="1" customFormat="1">
      <c r="A606" s="721" t="s">
        <v>44</v>
      </c>
      <c r="B606" s="721"/>
      <c r="C606" s="723" t="e">
        <f>IF(C604&lt;=1.5%, "Pass", "Fail")</f>
        <v>#DIV/0!</v>
      </c>
      <c r="D606" s="724"/>
      <c r="E606" s="724"/>
      <c r="F606" s="724"/>
      <c r="G606" s="724"/>
      <c r="H606" s="723" t="e">
        <f t="shared" ref="H606" si="55">IF(H604&lt;=1.5%, "Pass", "Fail")</f>
        <v>#DIV/0!</v>
      </c>
      <c r="I606" s="723"/>
      <c r="J606" s="724"/>
      <c r="K606" s="724"/>
      <c r="L606" s="724"/>
      <c r="M606" s="723" t="e">
        <f t="shared" ref="M606" si="56">IF(M604&lt;=1.5%, "Pass", "Fail")</f>
        <v>#DIV/0!</v>
      </c>
      <c r="N606" s="724"/>
      <c r="O606" s="724"/>
      <c r="P606" s="724"/>
      <c r="Q606" s="724"/>
    </row>
    <row r="607" spans="1:17">
      <c r="A607" s="725" t="s">
        <v>354</v>
      </c>
      <c r="B607" s="726"/>
      <c r="C607" s="726"/>
      <c r="D607" s="726"/>
      <c r="E607" s="726"/>
      <c r="F607" s="726"/>
      <c r="G607" s="726"/>
      <c r="H607" s="726"/>
      <c r="I607" s="726"/>
      <c r="J607" s="726"/>
      <c r="K607" s="726"/>
      <c r="L607" s="726"/>
      <c r="M607" s="726"/>
      <c r="N607" s="726"/>
      <c r="O607" s="726"/>
      <c r="P607" s="726"/>
      <c r="Q607" s="727"/>
    </row>
    <row r="608" spans="1:17" ht="75.75" customHeight="1">
      <c r="A608" s="966" t="s">
        <v>166</v>
      </c>
      <c r="B608" s="967"/>
      <c r="C608" s="967"/>
      <c r="D608" s="967"/>
      <c r="E608" s="967"/>
      <c r="F608" s="967"/>
      <c r="G608" s="967"/>
      <c r="H608" s="967"/>
      <c r="I608" s="967"/>
      <c r="J608" s="967"/>
      <c r="K608" s="967"/>
      <c r="L608" s="967"/>
      <c r="M608" s="967"/>
      <c r="N608" s="967"/>
      <c r="O608" s="967"/>
      <c r="P608" s="967"/>
      <c r="Q608" s="968"/>
    </row>
    <row r="609" spans="1:17" ht="14.5">
      <c r="A609" s="714" t="s">
        <v>209</v>
      </c>
      <c r="B609" s="714"/>
      <c r="C609" s="714"/>
      <c r="D609" s="714"/>
      <c r="E609" s="714"/>
      <c r="F609" s="714"/>
      <c r="G609" s="714"/>
      <c r="H609" s="714"/>
      <c r="I609" s="714"/>
      <c r="J609" s="714"/>
      <c r="K609" s="714"/>
      <c r="L609" s="714"/>
      <c r="M609" s="714"/>
      <c r="N609" s="714"/>
      <c r="O609" s="714"/>
      <c r="P609" s="714"/>
      <c r="Q609" s="714"/>
    </row>
    <row r="610" spans="1:17">
      <c r="A610" s="709" t="s">
        <v>167</v>
      </c>
      <c r="B610" s="709"/>
      <c r="C610" s="719" t="s">
        <v>192</v>
      </c>
      <c r="D610" s="719"/>
      <c r="E610" s="719" t="s">
        <v>267</v>
      </c>
      <c r="F610" s="719"/>
      <c r="G610" s="719"/>
      <c r="H610" s="719"/>
      <c r="I610" s="719"/>
      <c r="J610" s="719"/>
      <c r="K610" s="719"/>
      <c r="L610" s="719"/>
      <c r="M610" s="719" t="s">
        <v>168</v>
      </c>
      <c r="N610" s="719"/>
      <c r="O610" s="719" t="s">
        <v>218</v>
      </c>
      <c r="P610" s="719"/>
      <c r="Q610" s="719"/>
    </row>
    <row r="611" spans="1:17">
      <c r="A611" s="709"/>
      <c r="B611" s="709"/>
      <c r="C611" s="719"/>
      <c r="D611" s="719"/>
      <c r="E611" s="719">
        <v>1</v>
      </c>
      <c r="F611" s="719"/>
      <c r="G611" s="719"/>
      <c r="H611" s="719">
        <v>2</v>
      </c>
      <c r="I611" s="719"/>
      <c r="J611" s="719"/>
      <c r="K611" s="719">
        <v>3</v>
      </c>
      <c r="L611" s="719"/>
      <c r="M611" s="719"/>
      <c r="N611" s="719"/>
      <c r="O611" s="719"/>
      <c r="P611" s="719"/>
      <c r="Q611" s="719"/>
    </row>
    <row r="612" spans="1:17" ht="14.5">
      <c r="A612" s="709">
        <v>1</v>
      </c>
      <c r="B612" s="709"/>
      <c r="C612" s="710">
        <v>100</v>
      </c>
      <c r="D612" s="709"/>
      <c r="E612" s="711"/>
      <c r="F612" s="712"/>
      <c r="G612" s="713"/>
      <c r="H612" s="711"/>
      <c r="I612" s="712"/>
      <c r="J612" s="713"/>
      <c r="K612" s="711"/>
      <c r="L612" s="713"/>
      <c r="M612" s="714" t="e">
        <f>AVERAGE(E612:K612)</f>
        <v>#DIV/0!</v>
      </c>
      <c r="N612" s="714"/>
      <c r="O612" s="715" t="e">
        <f>ABS((M612 - (C612*$M$618+$P$618))/(C612*$M$618+$P$618))</f>
        <v>#DIV/0!</v>
      </c>
      <c r="P612" s="715"/>
      <c r="Q612" s="715"/>
    </row>
    <row r="613" spans="1:17" ht="14.5">
      <c r="A613" s="709">
        <v>2</v>
      </c>
      <c r="B613" s="709"/>
      <c r="C613" s="710">
        <v>120</v>
      </c>
      <c r="D613" s="709"/>
      <c r="E613" s="711"/>
      <c r="F613" s="712"/>
      <c r="G613" s="713"/>
      <c r="H613" s="711"/>
      <c r="I613" s="712"/>
      <c r="J613" s="713"/>
      <c r="K613" s="711"/>
      <c r="L613" s="713"/>
      <c r="M613" s="714" t="e">
        <f t="shared" ref="M613:M616" si="57">AVERAGE(E613:K613)</f>
        <v>#DIV/0!</v>
      </c>
      <c r="N613" s="714"/>
      <c r="O613" s="715" t="e">
        <f>ABS((M613 - (C613*$M$618+$P$618))/(C613*$M$618+$P$618))</f>
        <v>#DIV/0!</v>
      </c>
      <c r="P613" s="715"/>
      <c r="Q613" s="715"/>
    </row>
    <row r="614" spans="1:17" ht="14.5">
      <c r="A614" s="709">
        <v>3</v>
      </c>
      <c r="B614" s="709"/>
      <c r="C614" s="710">
        <v>140</v>
      </c>
      <c r="D614" s="709"/>
      <c r="E614" s="711"/>
      <c r="F614" s="712"/>
      <c r="G614" s="713"/>
      <c r="H614" s="711"/>
      <c r="I614" s="712"/>
      <c r="J614" s="713"/>
      <c r="K614" s="711"/>
      <c r="L614" s="713"/>
      <c r="M614" s="714" t="e">
        <f t="shared" si="57"/>
        <v>#DIV/0!</v>
      </c>
      <c r="N614" s="714"/>
      <c r="O614" s="715" t="e">
        <f>ABS((M614 - (C614*$M$618+$P$618))/(C614*$M$618+$P$618))</f>
        <v>#DIV/0!</v>
      </c>
      <c r="P614" s="715"/>
      <c r="Q614" s="715"/>
    </row>
    <row r="615" spans="1:17" ht="14.5">
      <c r="A615" s="709">
        <v>4</v>
      </c>
      <c r="B615" s="709"/>
      <c r="C615" s="710">
        <v>160</v>
      </c>
      <c r="D615" s="709"/>
      <c r="E615" s="711"/>
      <c r="F615" s="712"/>
      <c r="G615" s="713"/>
      <c r="H615" s="711"/>
      <c r="I615" s="712"/>
      <c r="J615" s="713"/>
      <c r="K615" s="711"/>
      <c r="L615" s="713"/>
      <c r="M615" s="714" t="e">
        <f t="shared" si="57"/>
        <v>#DIV/0!</v>
      </c>
      <c r="N615" s="714"/>
      <c r="O615" s="715" t="e">
        <f>ABS((M615 - (C615*$M$618+$P$618))/(C615*$M$618+$P$618))</f>
        <v>#DIV/0!</v>
      </c>
      <c r="P615" s="715"/>
      <c r="Q615" s="715"/>
    </row>
    <row r="616" spans="1:17" ht="14.5">
      <c r="A616" s="709">
        <v>5</v>
      </c>
      <c r="B616" s="709"/>
      <c r="C616" s="710">
        <v>180</v>
      </c>
      <c r="D616" s="709"/>
      <c r="E616" s="711"/>
      <c r="F616" s="712"/>
      <c r="G616" s="713"/>
      <c r="H616" s="711"/>
      <c r="I616" s="712"/>
      <c r="J616" s="713"/>
      <c r="K616" s="711"/>
      <c r="L616" s="713"/>
      <c r="M616" s="714" t="e">
        <f t="shared" si="57"/>
        <v>#DIV/0!</v>
      </c>
      <c r="N616" s="714"/>
      <c r="O616" s="715" t="e">
        <f>ABS((M616 - (C616*$M$618+$P$618))/(C616*$M$618+$P$618))</f>
        <v>#DIV/0!</v>
      </c>
      <c r="P616" s="715"/>
      <c r="Q616" s="715"/>
    </row>
    <row r="617" spans="1:17" ht="14.5">
      <c r="A617" s="714" t="e">
        <f>"统计：R²="&amp;C618&amp;"，y="&amp;M618&amp;"x + "&amp;P618&amp;""</f>
        <v>#DIV/0!</v>
      </c>
      <c r="B617" s="714"/>
      <c r="C617" s="714"/>
      <c r="D617" s="714"/>
      <c r="E617" s="714"/>
      <c r="F617" s="714"/>
      <c r="G617" s="714"/>
      <c r="H617" s="714"/>
      <c r="I617" s="714"/>
      <c r="J617" s="714"/>
      <c r="K617" s="714"/>
      <c r="L617" s="714"/>
      <c r="M617" s="714"/>
      <c r="N617" s="714"/>
      <c r="O617" s="714"/>
      <c r="P617" s="714"/>
      <c r="Q617" s="714"/>
    </row>
    <row r="618" spans="1:17" ht="14.5">
      <c r="A618" s="716" t="s">
        <v>172</v>
      </c>
      <c r="B618" s="717"/>
      <c r="C618" s="716" t="e">
        <f>POWER(H618, 2)</f>
        <v>#DIV/0!</v>
      </c>
      <c r="D618" s="717"/>
      <c r="E618" s="716" t="s">
        <v>171</v>
      </c>
      <c r="F618" s="718"/>
      <c r="G618" s="717"/>
      <c r="H618" s="716" t="e">
        <f>CORREL(M612:M616,(C612:C616)*$M$618+$P$618)</f>
        <v>#DIV/0!</v>
      </c>
      <c r="I618" s="718"/>
      <c r="J618" s="717"/>
      <c r="K618" s="716" t="s">
        <v>170</v>
      </c>
      <c r="L618" s="717"/>
      <c r="M618" s="716" t="e">
        <f>SLOPE(M612:M616, C612:C616)</f>
        <v>#DIV/0!</v>
      </c>
      <c r="N618" s="717"/>
      <c r="O618" s="15" t="s">
        <v>169</v>
      </c>
      <c r="P618" s="718" t="e">
        <f>INTERCEPT(M612:M616, C612:C616)</f>
        <v>#DIV/0!</v>
      </c>
      <c r="Q618" s="717"/>
    </row>
    <row r="619" spans="1:17">
      <c r="A619" s="699"/>
      <c r="B619" s="699"/>
      <c r="C619" s="699"/>
      <c r="D619" s="699"/>
      <c r="E619" s="699"/>
      <c r="F619" s="699"/>
      <c r="G619" s="699"/>
      <c r="H619" s="699"/>
      <c r="I619" s="699"/>
      <c r="J619" s="699"/>
      <c r="K619" s="699"/>
      <c r="L619" s="699"/>
      <c r="M619" s="699"/>
      <c r="N619" s="699"/>
      <c r="O619" s="699"/>
      <c r="P619" s="699"/>
      <c r="Q619" s="699"/>
    </row>
    <row r="620" spans="1:17" ht="18" customHeight="1">
      <c r="A620" s="699"/>
      <c r="B620" s="699"/>
      <c r="C620" s="699"/>
      <c r="D620" s="699"/>
      <c r="E620" s="699"/>
      <c r="F620" s="699"/>
      <c r="G620" s="699"/>
      <c r="H620" s="699"/>
      <c r="I620" s="699"/>
      <c r="J620" s="699"/>
      <c r="K620" s="699"/>
      <c r="L620" s="699"/>
      <c r="M620" s="699"/>
      <c r="N620" s="699"/>
      <c r="O620" s="699"/>
      <c r="P620" s="699"/>
      <c r="Q620" s="699"/>
    </row>
    <row r="621" spans="1:17" ht="21" customHeight="1">
      <c r="A621" s="699"/>
      <c r="B621" s="699"/>
      <c r="C621" s="699"/>
      <c r="D621" s="699"/>
      <c r="E621" s="699"/>
      <c r="F621" s="699"/>
      <c r="G621" s="699"/>
      <c r="H621" s="699"/>
      <c r="I621" s="699"/>
      <c r="J621" s="699"/>
      <c r="K621" s="699"/>
      <c r="L621" s="699"/>
      <c r="M621" s="699"/>
      <c r="N621" s="699"/>
      <c r="O621" s="699"/>
      <c r="P621" s="699"/>
      <c r="Q621" s="699"/>
    </row>
    <row r="622" spans="1:17" ht="19.5" customHeight="1">
      <c r="A622" s="699"/>
      <c r="B622" s="699"/>
      <c r="C622" s="699"/>
      <c r="D622" s="699"/>
      <c r="E622" s="699"/>
      <c r="F622" s="699"/>
      <c r="G622" s="699"/>
      <c r="H622" s="699"/>
      <c r="I622" s="699"/>
      <c r="J622" s="699"/>
      <c r="K622" s="699"/>
      <c r="L622" s="699"/>
      <c r="M622" s="699"/>
      <c r="N622" s="699"/>
      <c r="O622" s="699"/>
      <c r="P622" s="699"/>
      <c r="Q622" s="699"/>
    </row>
    <row r="623" spans="1:17" ht="24.75" customHeight="1">
      <c r="A623" s="699"/>
      <c r="B623" s="699"/>
      <c r="C623" s="699"/>
      <c r="D623" s="699"/>
      <c r="E623" s="699"/>
      <c r="F623" s="699"/>
      <c r="G623" s="699"/>
      <c r="H623" s="699"/>
      <c r="I623" s="699"/>
      <c r="J623" s="699"/>
      <c r="K623" s="699"/>
      <c r="L623" s="699"/>
      <c r="M623" s="699"/>
      <c r="N623" s="699"/>
      <c r="O623" s="699"/>
      <c r="P623" s="699"/>
      <c r="Q623" s="699"/>
    </row>
    <row r="624" spans="1:17" ht="33" customHeight="1">
      <c r="A624" s="699"/>
      <c r="B624" s="699"/>
      <c r="C624" s="699"/>
      <c r="D624" s="699"/>
      <c r="E624" s="699"/>
      <c r="F624" s="699"/>
      <c r="G624" s="699"/>
      <c r="H624" s="699"/>
      <c r="I624" s="699"/>
      <c r="J624" s="699"/>
      <c r="K624" s="699"/>
      <c r="L624" s="699"/>
      <c r="M624" s="699"/>
      <c r="N624" s="699"/>
      <c r="O624" s="699"/>
      <c r="P624" s="699"/>
      <c r="Q624" s="699"/>
    </row>
    <row r="625" spans="1:17" ht="48" customHeight="1">
      <c r="A625" s="699"/>
      <c r="B625" s="699"/>
      <c r="C625" s="699"/>
      <c r="D625" s="699"/>
      <c r="E625" s="699"/>
      <c r="F625" s="699"/>
      <c r="G625" s="699"/>
      <c r="H625" s="699"/>
      <c r="I625" s="699"/>
      <c r="J625" s="699"/>
      <c r="K625" s="699"/>
      <c r="L625" s="699"/>
      <c r="M625" s="699"/>
      <c r="N625" s="699"/>
      <c r="O625" s="699"/>
      <c r="P625" s="699"/>
      <c r="Q625" s="699"/>
    </row>
    <row r="626" spans="1:17" ht="89.25" customHeight="1">
      <c r="A626" s="699"/>
      <c r="B626" s="699"/>
      <c r="C626" s="699"/>
      <c r="D626" s="699"/>
      <c r="E626" s="699"/>
      <c r="F626" s="699"/>
      <c r="G626" s="699"/>
      <c r="H626" s="699"/>
      <c r="I626" s="699"/>
      <c r="J626" s="699"/>
      <c r="K626" s="699"/>
      <c r="L626" s="699"/>
      <c r="M626" s="699"/>
      <c r="N626" s="699"/>
      <c r="O626" s="699"/>
      <c r="P626" s="699"/>
      <c r="Q626" s="699"/>
    </row>
    <row r="627" spans="1:17" s="1" customFormat="1" ht="30.75" customHeight="1">
      <c r="A627" s="699"/>
      <c r="B627" s="699"/>
      <c r="C627" s="699"/>
      <c r="D627" s="699"/>
      <c r="E627" s="699"/>
      <c r="F627" s="699"/>
      <c r="G627" s="699"/>
      <c r="H627" s="699"/>
      <c r="I627" s="699"/>
      <c r="J627" s="699"/>
      <c r="K627" s="699"/>
      <c r="L627" s="699"/>
      <c r="M627" s="699"/>
      <c r="N627" s="699"/>
      <c r="O627" s="699"/>
      <c r="P627" s="699"/>
      <c r="Q627" s="699"/>
    </row>
    <row r="628" spans="1:17">
      <c r="A628" s="14" t="s">
        <v>219</v>
      </c>
      <c r="B628" s="699" t="e">
        <f>IF(AND(MAX(O612:O616) &lt;= 3%, H618 &gt;= 0.995), "Pass", "Fail")</f>
        <v>#DIV/0!</v>
      </c>
      <c r="C628" s="699"/>
      <c r="D628" s="699"/>
      <c r="E628" s="699"/>
      <c r="F628" s="699"/>
      <c r="G628" s="699"/>
      <c r="H628" s="699"/>
      <c r="I628" s="699"/>
      <c r="J628" s="699"/>
      <c r="K628" s="699"/>
      <c r="L628" s="699"/>
      <c r="M628" s="699"/>
      <c r="N628" s="699"/>
      <c r="O628" s="699"/>
      <c r="P628" s="699"/>
      <c r="Q628" s="699"/>
    </row>
    <row r="629" spans="1:17" ht="14.5">
      <c r="A629" s="714" t="s">
        <v>173</v>
      </c>
      <c r="B629" s="714"/>
      <c r="C629" s="714"/>
      <c r="D629" s="714"/>
      <c r="E629" s="714"/>
      <c r="F629" s="714"/>
      <c r="G629" s="714"/>
      <c r="H629" s="714"/>
      <c r="I629" s="714"/>
      <c r="J629" s="714"/>
      <c r="K629" s="714"/>
      <c r="L629" s="714"/>
      <c r="M629" s="714"/>
      <c r="N629" s="714"/>
      <c r="O629" s="714"/>
      <c r="P629" s="714"/>
      <c r="Q629" s="714"/>
    </row>
    <row r="630" spans="1:17">
      <c r="A630" s="709" t="s">
        <v>167</v>
      </c>
      <c r="B630" s="709"/>
      <c r="C630" s="719" t="s">
        <v>192</v>
      </c>
      <c r="D630" s="719"/>
      <c r="E630" s="719" t="s">
        <v>267</v>
      </c>
      <c r="F630" s="719"/>
      <c r="G630" s="719"/>
      <c r="H630" s="719"/>
      <c r="I630" s="719"/>
      <c r="J630" s="719"/>
      <c r="K630" s="719"/>
      <c r="L630" s="719"/>
      <c r="M630" s="719" t="s">
        <v>168</v>
      </c>
      <c r="N630" s="719"/>
      <c r="O630" s="719" t="s">
        <v>218</v>
      </c>
      <c r="P630" s="719"/>
      <c r="Q630" s="719"/>
    </row>
    <row r="631" spans="1:17">
      <c r="A631" s="709"/>
      <c r="B631" s="709"/>
      <c r="C631" s="719"/>
      <c r="D631" s="719"/>
      <c r="E631" s="719">
        <v>1</v>
      </c>
      <c r="F631" s="719"/>
      <c r="G631" s="719"/>
      <c r="H631" s="719">
        <v>2</v>
      </c>
      <c r="I631" s="719"/>
      <c r="J631" s="719"/>
      <c r="K631" s="719">
        <v>3</v>
      </c>
      <c r="L631" s="719"/>
      <c r="M631" s="719"/>
      <c r="N631" s="719"/>
      <c r="O631" s="719"/>
      <c r="P631" s="719"/>
      <c r="Q631" s="719"/>
    </row>
    <row r="632" spans="1:17" ht="14.5">
      <c r="A632" s="709">
        <v>1</v>
      </c>
      <c r="B632" s="709"/>
      <c r="C632" s="710">
        <v>1.5</v>
      </c>
      <c r="D632" s="709"/>
      <c r="E632" s="711"/>
      <c r="F632" s="712"/>
      <c r="G632" s="713"/>
      <c r="H632" s="711"/>
      <c r="I632" s="712"/>
      <c r="J632" s="713"/>
      <c r="K632" s="711"/>
      <c r="L632" s="713"/>
      <c r="M632" s="714" t="e">
        <f>AVERAGE(E632:K632)</f>
        <v>#DIV/0!</v>
      </c>
      <c r="N632" s="714"/>
      <c r="O632" s="715" t="e">
        <f>ABS((M632 - (C632*$M$638+$P$638))/(C632*$M$638+$P$638))</f>
        <v>#DIV/0!</v>
      </c>
      <c r="P632" s="715"/>
      <c r="Q632" s="715"/>
    </row>
    <row r="633" spans="1:17" ht="14.5">
      <c r="A633" s="709">
        <v>2</v>
      </c>
      <c r="B633" s="709"/>
      <c r="C633" s="710">
        <v>3</v>
      </c>
      <c r="D633" s="709"/>
      <c r="E633" s="711"/>
      <c r="F633" s="712"/>
      <c r="G633" s="713"/>
      <c r="H633" s="711"/>
      <c r="I633" s="712"/>
      <c r="J633" s="713"/>
      <c r="K633" s="711"/>
      <c r="L633" s="713"/>
      <c r="M633" s="714" t="e">
        <f t="shared" ref="M633:M636" si="58">AVERAGE(E633:K633)</f>
        <v>#DIV/0!</v>
      </c>
      <c r="N633" s="714"/>
      <c r="O633" s="715" t="e">
        <f>ABS((M633 - (C633*$M$638+$P$638))/(C633*$M$638+$P$638))</f>
        <v>#DIV/0!</v>
      </c>
      <c r="P633" s="715"/>
      <c r="Q633" s="715"/>
    </row>
    <row r="634" spans="1:17" ht="14.5">
      <c r="A634" s="709">
        <v>3</v>
      </c>
      <c r="B634" s="709"/>
      <c r="C634" s="710">
        <v>4.5</v>
      </c>
      <c r="D634" s="709"/>
      <c r="E634" s="711"/>
      <c r="F634" s="712"/>
      <c r="G634" s="713"/>
      <c r="H634" s="711"/>
      <c r="I634" s="712"/>
      <c r="J634" s="713"/>
      <c r="K634" s="711"/>
      <c r="L634" s="713"/>
      <c r="M634" s="714" t="e">
        <f t="shared" si="58"/>
        <v>#DIV/0!</v>
      </c>
      <c r="N634" s="714"/>
      <c r="O634" s="715" t="e">
        <f>ABS((M634 - (C634*$M$638+$P$638))/(C634*$M$638+$P$638))</f>
        <v>#DIV/0!</v>
      </c>
      <c r="P634" s="715"/>
      <c r="Q634" s="715"/>
    </row>
    <row r="635" spans="1:17" ht="14.5">
      <c r="A635" s="709">
        <v>4</v>
      </c>
      <c r="B635" s="709"/>
      <c r="C635" s="710">
        <v>6</v>
      </c>
      <c r="D635" s="709"/>
      <c r="E635" s="711"/>
      <c r="F635" s="712"/>
      <c r="G635" s="713"/>
      <c r="H635" s="711"/>
      <c r="I635" s="712"/>
      <c r="J635" s="713"/>
      <c r="K635" s="711"/>
      <c r="L635" s="713"/>
      <c r="M635" s="714" t="e">
        <f t="shared" si="58"/>
        <v>#DIV/0!</v>
      </c>
      <c r="N635" s="714"/>
      <c r="O635" s="715" t="e">
        <f>ABS((M635 - (C635*$M$638+$P$638))/(C635*$M$638+$P$638))</f>
        <v>#DIV/0!</v>
      </c>
      <c r="P635" s="715"/>
      <c r="Q635" s="715"/>
    </row>
    <row r="636" spans="1:17" ht="14.5">
      <c r="A636" s="709">
        <v>5</v>
      </c>
      <c r="B636" s="709"/>
      <c r="C636" s="710">
        <v>7.5</v>
      </c>
      <c r="D636" s="709"/>
      <c r="E636" s="711"/>
      <c r="F636" s="712"/>
      <c r="G636" s="713"/>
      <c r="H636" s="711"/>
      <c r="I636" s="712"/>
      <c r="J636" s="713"/>
      <c r="K636" s="711"/>
      <c r="L636" s="713"/>
      <c r="M636" s="714" t="e">
        <f t="shared" si="58"/>
        <v>#DIV/0!</v>
      </c>
      <c r="N636" s="714"/>
      <c r="O636" s="715" t="e">
        <f>ABS((M636 - (C636*$M$638+$P$638))/(C636*$M$638+$P$638))</f>
        <v>#DIV/0!</v>
      </c>
      <c r="P636" s="715"/>
      <c r="Q636" s="715"/>
    </row>
    <row r="637" spans="1:17" s="1" customFormat="1" ht="14.5">
      <c r="A637" s="714" t="e">
        <f>"统计：R²="&amp;C638&amp;"，y="&amp;M638&amp;"x + "&amp;P638&amp;""</f>
        <v>#DIV/0!</v>
      </c>
      <c r="B637" s="714"/>
      <c r="C637" s="714"/>
      <c r="D637" s="714"/>
      <c r="E637" s="714"/>
      <c r="F637" s="714"/>
      <c r="G637" s="714"/>
      <c r="H637" s="714"/>
      <c r="I637" s="714"/>
      <c r="J637" s="714"/>
      <c r="K637" s="714"/>
      <c r="L637" s="714"/>
      <c r="M637" s="714"/>
      <c r="N637" s="714"/>
      <c r="O637" s="714"/>
      <c r="P637" s="714"/>
      <c r="Q637" s="714"/>
    </row>
    <row r="638" spans="1:17" ht="14.5">
      <c r="A638" s="716" t="s">
        <v>172</v>
      </c>
      <c r="B638" s="717"/>
      <c r="C638" s="716" t="e">
        <f>POWER(H638, 2)</f>
        <v>#DIV/0!</v>
      </c>
      <c r="D638" s="717"/>
      <c r="E638" s="716" t="s">
        <v>171</v>
      </c>
      <c r="F638" s="718"/>
      <c r="G638" s="717"/>
      <c r="H638" s="716" t="e">
        <f>CORREL(M632:M636,(C632:C636)*$M$638+$P$638)</f>
        <v>#DIV/0!</v>
      </c>
      <c r="I638" s="718"/>
      <c r="J638" s="717"/>
      <c r="K638" s="716" t="s">
        <v>170</v>
      </c>
      <c r="L638" s="717"/>
      <c r="M638" s="716" t="e">
        <f>SLOPE(M632:M636, C632:C636)</f>
        <v>#DIV/0!</v>
      </c>
      <c r="N638" s="717"/>
      <c r="O638" s="15" t="s">
        <v>169</v>
      </c>
      <c r="P638" s="714" t="e">
        <f>INTERCEPT(M632:M636, C632:C636)</f>
        <v>#DIV/0!</v>
      </c>
      <c r="Q638" s="714"/>
    </row>
    <row r="639" spans="1:17">
      <c r="A639" s="699"/>
      <c r="B639" s="699"/>
      <c r="C639" s="699"/>
      <c r="D639" s="699"/>
      <c r="E639" s="699"/>
      <c r="F639" s="699"/>
      <c r="G639" s="699"/>
      <c r="H639" s="699"/>
      <c r="I639" s="699"/>
      <c r="J639" s="699"/>
      <c r="K639" s="699"/>
      <c r="L639" s="699"/>
      <c r="M639" s="699"/>
      <c r="N639" s="699"/>
      <c r="O639" s="699"/>
      <c r="P639" s="699"/>
      <c r="Q639" s="699"/>
    </row>
    <row r="640" spans="1:17">
      <c r="A640" s="699"/>
      <c r="B640" s="699"/>
      <c r="C640" s="699"/>
      <c r="D640" s="699"/>
      <c r="E640" s="699"/>
      <c r="F640" s="699"/>
      <c r="G640" s="699"/>
      <c r="H640" s="699"/>
      <c r="I640" s="699"/>
      <c r="J640" s="699"/>
      <c r="K640" s="699"/>
      <c r="L640" s="699"/>
      <c r="M640" s="699"/>
      <c r="N640" s="699"/>
      <c r="O640" s="699"/>
      <c r="P640" s="699"/>
      <c r="Q640" s="699"/>
    </row>
    <row r="641" spans="1:17">
      <c r="A641" s="699"/>
      <c r="B641" s="699"/>
      <c r="C641" s="699"/>
      <c r="D641" s="699"/>
      <c r="E641" s="699"/>
      <c r="F641" s="699"/>
      <c r="G641" s="699"/>
      <c r="H641" s="699"/>
      <c r="I641" s="699"/>
      <c r="J641" s="699"/>
      <c r="K641" s="699"/>
      <c r="L641" s="699"/>
      <c r="M641" s="699"/>
      <c r="N641" s="699"/>
      <c r="O641" s="699"/>
      <c r="P641" s="699"/>
      <c r="Q641" s="699"/>
    </row>
    <row r="642" spans="1:17" ht="24.75" customHeight="1">
      <c r="A642" s="699"/>
      <c r="B642" s="699"/>
      <c r="C642" s="699"/>
      <c r="D642" s="699"/>
      <c r="E642" s="699"/>
      <c r="F642" s="699"/>
      <c r="G642" s="699"/>
      <c r="H642" s="699"/>
      <c r="I642" s="699"/>
      <c r="J642" s="699"/>
      <c r="K642" s="699"/>
      <c r="L642" s="699"/>
      <c r="M642" s="699"/>
      <c r="N642" s="699"/>
      <c r="O642" s="699"/>
      <c r="P642" s="699"/>
      <c r="Q642" s="699"/>
    </row>
    <row r="643" spans="1:17" ht="30.75" customHeight="1">
      <c r="A643" s="699"/>
      <c r="B643" s="699"/>
      <c r="C643" s="699"/>
      <c r="D643" s="699"/>
      <c r="E643" s="699"/>
      <c r="F643" s="699"/>
      <c r="G643" s="699"/>
      <c r="H643" s="699"/>
      <c r="I643" s="699"/>
      <c r="J643" s="699"/>
      <c r="K643" s="699"/>
      <c r="L643" s="699"/>
      <c r="M643" s="699"/>
      <c r="N643" s="699"/>
      <c r="O643" s="699"/>
      <c r="P643" s="699"/>
      <c r="Q643" s="699"/>
    </row>
    <row r="644" spans="1:17" ht="60.75" customHeight="1">
      <c r="A644" s="699"/>
      <c r="B644" s="699"/>
      <c r="C644" s="699"/>
      <c r="D644" s="699"/>
      <c r="E644" s="699"/>
      <c r="F644" s="699"/>
      <c r="G644" s="699"/>
      <c r="H644" s="699"/>
      <c r="I644" s="699"/>
      <c r="J644" s="699"/>
      <c r="K644" s="699"/>
      <c r="L644" s="699"/>
      <c r="M644" s="699"/>
      <c r="N644" s="699"/>
      <c r="O644" s="699"/>
      <c r="P644" s="699"/>
      <c r="Q644" s="699"/>
    </row>
    <row r="645" spans="1:17" ht="35.25" customHeight="1">
      <c r="A645" s="699"/>
      <c r="B645" s="699"/>
      <c r="C645" s="699"/>
      <c r="D645" s="699"/>
      <c r="E645" s="699"/>
      <c r="F645" s="699"/>
      <c r="G645" s="699"/>
      <c r="H645" s="699"/>
      <c r="I645" s="699"/>
      <c r="J645" s="699"/>
      <c r="K645" s="699"/>
      <c r="L645" s="699"/>
      <c r="M645" s="699"/>
      <c r="N645" s="699"/>
      <c r="O645" s="699"/>
      <c r="P645" s="699"/>
      <c r="Q645" s="699"/>
    </row>
    <row r="646" spans="1:17" ht="89.25" customHeight="1">
      <c r="A646" s="699"/>
      <c r="B646" s="699"/>
      <c r="C646" s="699"/>
      <c r="D646" s="699"/>
      <c r="E646" s="699"/>
      <c r="F646" s="699"/>
      <c r="G646" s="699"/>
      <c r="H646" s="699"/>
      <c r="I646" s="699"/>
      <c r="J646" s="699"/>
      <c r="K646" s="699"/>
      <c r="L646" s="699"/>
      <c r="M646" s="699"/>
      <c r="N646" s="699"/>
      <c r="O646" s="699"/>
      <c r="P646" s="699"/>
      <c r="Q646" s="699"/>
    </row>
    <row r="647" spans="1:17" s="1" customFormat="1" ht="23.25" customHeight="1">
      <c r="A647" s="699"/>
      <c r="B647" s="699"/>
      <c r="C647" s="699"/>
      <c r="D647" s="699"/>
      <c r="E647" s="699"/>
      <c r="F647" s="699"/>
      <c r="G647" s="699"/>
      <c r="H647" s="699"/>
      <c r="I647" s="699"/>
      <c r="J647" s="699"/>
      <c r="K647" s="699"/>
      <c r="L647" s="699"/>
      <c r="M647" s="699"/>
      <c r="N647" s="699"/>
      <c r="O647" s="699"/>
      <c r="P647" s="699"/>
      <c r="Q647" s="699"/>
    </row>
    <row r="648" spans="1:17" ht="13.5" customHeight="1">
      <c r="A648" s="14" t="s">
        <v>219</v>
      </c>
      <c r="B648" s="699" t="e">
        <f>IF(AND(MAX(O632:O636) &lt;= 3%, H638 &gt;= 0.995), "Pass", "Fail")</f>
        <v>#DIV/0!</v>
      </c>
      <c r="C648" s="699"/>
      <c r="D648" s="699"/>
      <c r="E648" s="699"/>
      <c r="F648" s="699"/>
      <c r="G648" s="699"/>
      <c r="H648" s="699"/>
      <c r="I648" s="699"/>
      <c r="J648" s="699"/>
      <c r="K648" s="699"/>
      <c r="L648" s="699"/>
      <c r="M648" s="699"/>
      <c r="N648" s="699"/>
      <c r="O648" s="699"/>
      <c r="P648" s="699"/>
      <c r="Q648" s="699"/>
    </row>
    <row r="649" spans="1:17" ht="14.5">
      <c r="A649" s="714" t="s">
        <v>210</v>
      </c>
      <c r="B649" s="714"/>
      <c r="C649" s="714"/>
      <c r="D649" s="714"/>
      <c r="E649" s="714"/>
      <c r="F649" s="714"/>
      <c r="G649" s="714"/>
      <c r="H649" s="714"/>
      <c r="I649" s="714"/>
      <c r="J649" s="714"/>
      <c r="K649" s="714"/>
      <c r="L649" s="714"/>
      <c r="M649" s="714"/>
      <c r="N649" s="714"/>
      <c r="O649" s="714"/>
      <c r="P649" s="714"/>
      <c r="Q649" s="714"/>
    </row>
    <row r="650" spans="1:17">
      <c r="A650" s="709" t="s">
        <v>167</v>
      </c>
      <c r="B650" s="709"/>
      <c r="C650" s="719" t="s">
        <v>192</v>
      </c>
      <c r="D650" s="719"/>
      <c r="E650" s="719" t="s">
        <v>267</v>
      </c>
      <c r="F650" s="719"/>
      <c r="G650" s="719"/>
      <c r="H650" s="719"/>
      <c r="I650" s="719"/>
      <c r="J650" s="719"/>
      <c r="K650" s="719"/>
      <c r="L650" s="719"/>
      <c r="M650" s="719" t="s">
        <v>168</v>
      </c>
      <c r="N650" s="719"/>
      <c r="O650" s="719" t="s">
        <v>218</v>
      </c>
      <c r="P650" s="719"/>
      <c r="Q650" s="719"/>
    </row>
    <row r="651" spans="1:17">
      <c r="A651" s="709"/>
      <c r="B651" s="709"/>
      <c r="C651" s="719"/>
      <c r="D651" s="719"/>
      <c r="E651" s="719">
        <v>1</v>
      </c>
      <c r="F651" s="719"/>
      <c r="G651" s="719"/>
      <c r="H651" s="719">
        <v>2</v>
      </c>
      <c r="I651" s="719"/>
      <c r="J651" s="719"/>
      <c r="K651" s="719">
        <v>3</v>
      </c>
      <c r="L651" s="719"/>
      <c r="M651" s="719"/>
      <c r="N651" s="719"/>
      <c r="O651" s="719"/>
      <c r="P651" s="719"/>
      <c r="Q651" s="719"/>
    </row>
    <row r="652" spans="1:17" ht="14.5">
      <c r="A652" s="709">
        <v>1</v>
      </c>
      <c r="B652" s="709"/>
      <c r="C652" s="710">
        <v>80</v>
      </c>
      <c r="D652" s="709"/>
      <c r="E652" s="711"/>
      <c r="F652" s="712"/>
      <c r="G652" s="713"/>
      <c r="H652" s="711"/>
      <c r="I652" s="712"/>
      <c r="J652" s="713"/>
      <c r="K652" s="711"/>
      <c r="L652" s="713"/>
      <c r="M652" s="714" t="e">
        <f>AVERAGE(E652:K652)</f>
        <v>#DIV/0!</v>
      </c>
      <c r="N652" s="714"/>
      <c r="O652" s="715" t="e">
        <f>ABS((M652 - (C652*$M$658+$P$658))/(C652*$M$658+$P$658))</f>
        <v>#DIV/0!</v>
      </c>
      <c r="P652" s="715"/>
      <c r="Q652" s="715"/>
    </row>
    <row r="653" spans="1:17" ht="14.5">
      <c r="A653" s="709">
        <v>2</v>
      </c>
      <c r="B653" s="709"/>
      <c r="C653" s="710">
        <v>100</v>
      </c>
      <c r="D653" s="709"/>
      <c r="E653" s="711"/>
      <c r="F653" s="712"/>
      <c r="G653" s="713"/>
      <c r="H653" s="711"/>
      <c r="I653" s="712"/>
      <c r="J653" s="713"/>
      <c r="K653" s="711"/>
      <c r="L653" s="713"/>
      <c r="M653" s="714" t="e">
        <f t="shared" ref="M653:M655" si="59">AVERAGE(E653:K653)</f>
        <v>#DIV/0!</v>
      </c>
      <c r="N653" s="714"/>
      <c r="O653" s="715" t="e">
        <f>ABS((M653 - (C653*$M$658+$P$658))/(C653*$M$658+$P$658))</f>
        <v>#DIV/0!</v>
      </c>
      <c r="P653" s="715"/>
      <c r="Q653" s="715"/>
    </row>
    <row r="654" spans="1:17" ht="14.5">
      <c r="A654" s="709">
        <v>3</v>
      </c>
      <c r="B654" s="709"/>
      <c r="C654" s="710">
        <v>120</v>
      </c>
      <c r="D654" s="709"/>
      <c r="E654" s="711"/>
      <c r="F654" s="712"/>
      <c r="G654" s="713"/>
      <c r="H654" s="711"/>
      <c r="I654" s="712"/>
      <c r="J654" s="713"/>
      <c r="K654" s="711"/>
      <c r="L654" s="713"/>
      <c r="M654" s="714" t="e">
        <f t="shared" si="59"/>
        <v>#DIV/0!</v>
      </c>
      <c r="N654" s="714"/>
      <c r="O654" s="715" t="e">
        <f>ABS((M654 - (C654*$M$658+$P$658))/(C654*$M$658+$P$658))</f>
        <v>#DIV/0!</v>
      </c>
      <c r="P654" s="715"/>
      <c r="Q654" s="715"/>
    </row>
    <row r="655" spans="1:17" ht="14.5">
      <c r="A655" s="709">
        <v>4</v>
      </c>
      <c r="B655" s="709"/>
      <c r="C655" s="710">
        <v>140</v>
      </c>
      <c r="D655" s="709"/>
      <c r="E655" s="711"/>
      <c r="F655" s="712"/>
      <c r="G655" s="713"/>
      <c r="H655" s="711"/>
      <c r="I655" s="712"/>
      <c r="J655" s="713"/>
      <c r="K655" s="711"/>
      <c r="L655" s="713"/>
      <c r="M655" s="714" t="e">
        <f t="shared" si="59"/>
        <v>#DIV/0!</v>
      </c>
      <c r="N655" s="714"/>
      <c r="O655" s="715" t="e">
        <f>ABS((M655 - (C655*$M$658+$P$658))/(C655*$M$658+$P$658))</f>
        <v>#DIV/0!</v>
      </c>
      <c r="P655" s="715"/>
      <c r="Q655" s="715"/>
    </row>
    <row r="656" spans="1:17" ht="14.5">
      <c r="A656" s="709">
        <v>5</v>
      </c>
      <c r="B656" s="709"/>
      <c r="C656" s="710">
        <v>160</v>
      </c>
      <c r="D656" s="709"/>
      <c r="E656" s="711"/>
      <c r="F656" s="712"/>
      <c r="G656" s="713"/>
      <c r="H656" s="711"/>
      <c r="I656" s="712"/>
      <c r="J656" s="713"/>
      <c r="K656" s="711"/>
      <c r="L656" s="713"/>
      <c r="M656" s="714" t="e">
        <f>AVERAGE(E656:K656)</f>
        <v>#DIV/0!</v>
      </c>
      <c r="N656" s="714"/>
      <c r="O656" s="715" t="e">
        <f>ABS((M656 - (C656*$M$658+$P$658))/(C656*$M$658+$P$658))</f>
        <v>#DIV/0!</v>
      </c>
      <c r="P656" s="715"/>
      <c r="Q656" s="715"/>
    </row>
    <row r="657" spans="1:17" s="1" customFormat="1" ht="14.5">
      <c r="A657" s="714" t="e">
        <f>"统计：R²="&amp;C658&amp;"，y="&amp;M658&amp;"x + "&amp;P658&amp;""</f>
        <v>#DIV/0!</v>
      </c>
      <c r="B657" s="714"/>
      <c r="C657" s="714"/>
      <c r="D657" s="714"/>
      <c r="E657" s="714"/>
      <c r="F657" s="714"/>
      <c r="G657" s="714"/>
      <c r="H657" s="714"/>
      <c r="I657" s="714"/>
      <c r="J657" s="714"/>
      <c r="K657" s="714"/>
      <c r="L657" s="714"/>
      <c r="M657" s="714"/>
      <c r="N657" s="714"/>
      <c r="O657" s="714"/>
      <c r="P657" s="714"/>
      <c r="Q657" s="714"/>
    </row>
    <row r="658" spans="1:17" ht="14.5">
      <c r="A658" s="716" t="s">
        <v>172</v>
      </c>
      <c r="B658" s="717"/>
      <c r="C658" s="716" t="e">
        <f>POWER(H658, 2)</f>
        <v>#DIV/0!</v>
      </c>
      <c r="D658" s="717"/>
      <c r="E658" s="716" t="s">
        <v>171</v>
      </c>
      <c r="F658" s="718"/>
      <c r="G658" s="717"/>
      <c r="H658" s="716" t="e">
        <f>CORREL(M652:M656,(C652:C656)*$M$658+$P$658)</f>
        <v>#DIV/0!</v>
      </c>
      <c r="I658" s="718"/>
      <c r="J658" s="717"/>
      <c r="K658" s="716" t="s">
        <v>170</v>
      </c>
      <c r="L658" s="717"/>
      <c r="M658" s="716" t="e">
        <f>SLOPE(M652:M656, C652:C656)</f>
        <v>#DIV/0!</v>
      </c>
      <c r="N658" s="717"/>
      <c r="O658" s="15" t="s">
        <v>169</v>
      </c>
      <c r="P658" s="714" t="e">
        <f>INTERCEPT(M652:M656, C652:C656)</f>
        <v>#DIV/0!</v>
      </c>
      <c r="Q658" s="714"/>
    </row>
    <row r="659" spans="1:17">
      <c r="A659" s="699"/>
      <c r="B659" s="699"/>
      <c r="C659" s="699"/>
      <c r="D659" s="699"/>
      <c r="E659" s="699"/>
      <c r="F659" s="699"/>
      <c r="G659" s="699"/>
      <c r="H659" s="699"/>
      <c r="I659" s="699"/>
      <c r="J659" s="699"/>
      <c r="K659" s="699"/>
      <c r="L659" s="699"/>
      <c r="M659" s="699"/>
      <c r="N659" s="699"/>
      <c r="O659" s="699"/>
      <c r="P659" s="699"/>
      <c r="Q659" s="699"/>
    </row>
    <row r="660" spans="1:17">
      <c r="A660" s="699"/>
      <c r="B660" s="699"/>
      <c r="C660" s="699"/>
      <c r="D660" s="699"/>
      <c r="E660" s="699"/>
      <c r="F660" s="699"/>
      <c r="G660" s="699"/>
      <c r="H660" s="699"/>
      <c r="I660" s="699"/>
      <c r="J660" s="699"/>
      <c r="K660" s="699"/>
      <c r="L660" s="699"/>
      <c r="M660" s="699"/>
      <c r="N660" s="699"/>
      <c r="O660" s="699"/>
      <c r="P660" s="699"/>
      <c r="Q660" s="699"/>
    </row>
    <row r="661" spans="1:17">
      <c r="A661" s="699"/>
      <c r="B661" s="699"/>
      <c r="C661" s="699"/>
      <c r="D661" s="699"/>
      <c r="E661" s="699"/>
      <c r="F661" s="699"/>
      <c r="G661" s="699"/>
      <c r="H661" s="699"/>
      <c r="I661" s="699"/>
      <c r="J661" s="699"/>
      <c r="K661" s="699"/>
      <c r="L661" s="699"/>
      <c r="M661" s="699"/>
      <c r="N661" s="699"/>
      <c r="O661" s="699"/>
      <c r="P661" s="699"/>
      <c r="Q661" s="699"/>
    </row>
    <row r="662" spans="1:17" ht="36" customHeight="1">
      <c r="A662" s="699"/>
      <c r="B662" s="699"/>
      <c r="C662" s="699"/>
      <c r="D662" s="699"/>
      <c r="E662" s="699"/>
      <c r="F662" s="699"/>
      <c r="G662" s="699"/>
      <c r="H662" s="699"/>
      <c r="I662" s="699"/>
      <c r="J662" s="699"/>
      <c r="K662" s="699"/>
      <c r="L662" s="699"/>
      <c r="M662" s="699"/>
      <c r="N662" s="699"/>
      <c r="O662" s="699"/>
      <c r="P662" s="699"/>
      <c r="Q662" s="699"/>
    </row>
    <row r="663" spans="1:17" ht="45" customHeight="1">
      <c r="A663" s="699"/>
      <c r="B663" s="699"/>
      <c r="C663" s="699"/>
      <c r="D663" s="699"/>
      <c r="E663" s="699"/>
      <c r="F663" s="699"/>
      <c r="G663" s="699"/>
      <c r="H663" s="699"/>
      <c r="I663" s="699"/>
      <c r="J663" s="699"/>
      <c r="K663" s="699"/>
      <c r="L663" s="699"/>
      <c r="M663" s="699"/>
      <c r="N663" s="699"/>
      <c r="O663" s="699"/>
      <c r="P663" s="699"/>
      <c r="Q663" s="699"/>
    </row>
    <row r="664" spans="1:17" ht="45.75" customHeight="1">
      <c r="A664" s="699"/>
      <c r="B664" s="699"/>
      <c r="C664" s="699"/>
      <c r="D664" s="699"/>
      <c r="E664" s="699"/>
      <c r="F664" s="699"/>
      <c r="G664" s="699"/>
      <c r="H664" s="699"/>
      <c r="I664" s="699"/>
      <c r="J664" s="699"/>
      <c r="K664" s="699"/>
      <c r="L664" s="699"/>
      <c r="M664" s="699"/>
      <c r="N664" s="699"/>
      <c r="O664" s="699"/>
      <c r="P664" s="699"/>
      <c r="Q664" s="699"/>
    </row>
    <row r="665" spans="1:17" ht="49.5" customHeight="1">
      <c r="A665" s="699"/>
      <c r="B665" s="699"/>
      <c r="C665" s="699"/>
      <c r="D665" s="699"/>
      <c r="E665" s="699"/>
      <c r="F665" s="699"/>
      <c r="G665" s="699"/>
      <c r="H665" s="699"/>
      <c r="I665" s="699"/>
      <c r="J665" s="699"/>
      <c r="K665" s="699"/>
      <c r="L665" s="699"/>
      <c r="M665" s="699"/>
      <c r="N665" s="699"/>
      <c r="O665" s="699"/>
      <c r="P665" s="699"/>
      <c r="Q665" s="699"/>
    </row>
    <row r="666" spans="1:17" ht="79.5" customHeight="1">
      <c r="A666" s="699"/>
      <c r="B666" s="699"/>
      <c r="C666" s="699"/>
      <c r="D666" s="699"/>
      <c r="E666" s="699"/>
      <c r="F666" s="699"/>
      <c r="G666" s="699"/>
      <c r="H666" s="699"/>
      <c r="I666" s="699"/>
      <c r="J666" s="699"/>
      <c r="K666" s="699"/>
      <c r="L666" s="699"/>
      <c r="M666" s="699"/>
      <c r="N666" s="699"/>
      <c r="O666" s="699"/>
      <c r="P666" s="699"/>
      <c r="Q666" s="699"/>
    </row>
    <row r="667" spans="1:17" s="1" customFormat="1" ht="24" customHeight="1">
      <c r="A667" s="699"/>
      <c r="B667" s="699"/>
      <c r="C667" s="699"/>
      <c r="D667" s="699"/>
      <c r="E667" s="699"/>
      <c r="F667" s="699"/>
      <c r="G667" s="699"/>
      <c r="H667" s="699"/>
      <c r="I667" s="699"/>
      <c r="J667" s="699"/>
      <c r="K667" s="699"/>
      <c r="L667" s="699"/>
      <c r="M667" s="699"/>
      <c r="N667" s="699"/>
      <c r="O667" s="699"/>
      <c r="P667" s="699"/>
      <c r="Q667" s="699"/>
    </row>
    <row r="668" spans="1:17" s="1" customFormat="1">
      <c r="A668" s="24" t="s">
        <v>219</v>
      </c>
      <c r="B668" s="699" t="e">
        <f>IF(AND(MAX(O652:O656) &lt;= 3%, H658 &gt;= 0.995), "Pass", "Fail")</f>
        <v>#DIV/0!</v>
      </c>
      <c r="C668" s="699"/>
      <c r="D668" s="699"/>
      <c r="E668" s="699"/>
      <c r="F668" s="699"/>
      <c r="G668" s="699"/>
      <c r="H668" s="699"/>
      <c r="I668" s="699"/>
      <c r="J668" s="699"/>
      <c r="K668" s="699"/>
      <c r="L668" s="699"/>
      <c r="M668" s="699"/>
      <c r="N668" s="699"/>
      <c r="O668" s="699"/>
      <c r="P668" s="699"/>
      <c r="Q668" s="699"/>
    </row>
    <row r="669" spans="1:17">
      <c r="A669" s="701" t="s">
        <v>355</v>
      </c>
      <c r="B669" s="702"/>
      <c r="C669" s="702"/>
      <c r="D669" s="702"/>
      <c r="E669" s="702"/>
      <c r="F669" s="702"/>
      <c r="G669" s="702"/>
      <c r="H669" s="702"/>
      <c r="I669" s="702"/>
      <c r="J669" s="702"/>
      <c r="K669" s="702"/>
      <c r="L669" s="702"/>
      <c r="M669" s="702"/>
      <c r="N669" s="702"/>
      <c r="O669" s="702"/>
      <c r="P669" s="702"/>
      <c r="Q669" s="703"/>
    </row>
    <row r="670" spans="1:17" ht="66.75" customHeight="1">
      <c r="A670" s="704" t="s">
        <v>174</v>
      </c>
      <c r="B670" s="704"/>
      <c r="C670" s="704"/>
      <c r="D670" s="704"/>
      <c r="E670" s="704"/>
      <c r="F670" s="704"/>
      <c r="G670" s="704"/>
      <c r="H670" s="704"/>
      <c r="I670" s="704"/>
      <c r="J670" s="704"/>
      <c r="K670" s="704"/>
      <c r="L670" s="704"/>
      <c r="M670" s="704"/>
      <c r="N670" s="704"/>
      <c r="O670" s="704"/>
      <c r="P670" s="704"/>
      <c r="Q670" s="704"/>
    </row>
    <row r="671" spans="1:17">
      <c r="A671" s="687" t="s">
        <v>150</v>
      </c>
      <c r="B671" s="688"/>
      <c r="C671" s="687" t="s">
        <v>207</v>
      </c>
      <c r="D671" s="705"/>
      <c r="E671" s="705"/>
      <c r="F671" s="705"/>
      <c r="G671" s="688"/>
      <c r="H671" s="687" t="s">
        <v>152</v>
      </c>
      <c r="I671" s="705"/>
      <c r="J671" s="705"/>
      <c r="K671" s="705"/>
      <c r="L671" s="688"/>
      <c r="M671" s="687" t="s">
        <v>208</v>
      </c>
      <c r="N671" s="705"/>
      <c r="O671" s="705"/>
      <c r="P671" s="705"/>
      <c r="Q671" s="688"/>
    </row>
    <row r="672" spans="1:17">
      <c r="A672" s="687" t="s">
        <v>175</v>
      </c>
      <c r="B672" s="688"/>
      <c r="C672" s="706"/>
      <c r="D672" s="707"/>
      <c r="E672" s="707"/>
      <c r="F672" s="707"/>
      <c r="G672" s="708"/>
      <c r="H672" s="706"/>
      <c r="I672" s="707"/>
      <c r="J672" s="707"/>
      <c r="K672" s="707"/>
      <c r="L672" s="708"/>
      <c r="M672" s="706"/>
      <c r="N672" s="707"/>
      <c r="O672" s="707"/>
      <c r="P672" s="707"/>
      <c r="Q672" s="708"/>
    </row>
    <row r="673" spans="1:17">
      <c r="A673" s="687" t="s">
        <v>176</v>
      </c>
      <c r="B673" s="688"/>
      <c r="C673" s="699"/>
      <c r="D673" s="699"/>
      <c r="E673" s="699"/>
      <c r="F673" s="699"/>
      <c r="G673" s="699"/>
      <c r="H673" s="699"/>
      <c r="I673" s="699"/>
      <c r="J673" s="699"/>
      <c r="K673" s="699"/>
      <c r="L673" s="699"/>
      <c r="M673" s="699"/>
      <c r="N673" s="699"/>
      <c r="O673" s="699"/>
      <c r="P673" s="699"/>
      <c r="Q673" s="699"/>
    </row>
    <row r="674" spans="1:17">
      <c r="A674" s="687" t="s">
        <v>177</v>
      </c>
      <c r="B674" s="688"/>
      <c r="C674" s="699"/>
      <c r="D674" s="699"/>
      <c r="E674" s="699"/>
      <c r="F674" s="699"/>
      <c r="G674" s="699"/>
      <c r="H674" s="699"/>
      <c r="I674" s="699"/>
      <c r="J674" s="699"/>
      <c r="K674" s="699"/>
      <c r="L674" s="699"/>
      <c r="M674" s="699"/>
      <c r="N674" s="699"/>
      <c r="O674" s="699"/>
      <c r="P674" s="699"/>
      <c r="Q674" s="699"/>
    </row>
    <row r="675" spans="1:17">
      <c r="A675" s="687" t="s">
        <v>178</v>
      </c>
      <c r="B675" s="688"/>
      <c r="C675" s="699">
        <f>MAX(C672:C674)</f>
        <v>0</v>
      </c>
      <c r="D675" s="699"/>
      <c r="E675" s="699"/>
      <c r="F675" s="699"/>
      <c r="G675" s="699"/>
      <c r="H675" s="699">
        <f t="shared" ref="H675" si="60">MAX(H672:H674)</f>
        <v>0</v>
      </c>
      <c r="I675" s="699"/>
      <c r="J675" s="699"/>
      <c r="K675" s="699"/>
      <c r="L675" s="699"/>
      <c r="M675" s="699">
        <f t="shared" ref="M675" si="61">MAX(M672:M674)</f>
        <v>0</v>
      </c>
      <c r="N675" s="699"/>
      <c r="O675" s="699"/>
      <c r="P675" s="699"/>
      <c r="Q675" s="699"/>
    </row>
    <row r="676" spans="1:17">
      <c r="A676" s="687" t="s">
        <v>179</v>
      </c>
      <c r="B676" s="688"/>
      <c r="C676" s="699">
        <f>MIN(C672:C674)</f>
        <v>0</v>
      </c>
      <c r="D676" s="699"/>
      <c r="E676" s="699"/>
      <c r="F676" s="699"/>
      <c r="G676" s="699"/>
      <c r="H676" s="699">
        <f t="shared" ref="H676" si="62">MIN(H672:H674)</f>
        <v>0</v>
      </c>
      <c r="I676" s="699"/>
      <c r="J676" s="699"/>
      <c r="K676" s="699"/>
      <c r="L676" s="699"/>
      <c r="M676" s="699">
        <f t="shared" ref="M676" si="63">MIN(M672:M674)</f>
        <v>0</v>
      </c>
      <c r="N676" s="699"/>
      <c r="O676" s="699"/>
      <c r="P676" s="699"/>
      <c r="Q676" s="699"/>
    </row>
    <row r="677" spans="1:17">
      <c r="A677" s="687" t="s">
        <v>151</v>
      </c>
      <c r="B677" s="688"/>
      <c r="C677" s="699">
        <v>140</v>
      </c>
      <c r="D677" s="699"/>
      <c r="E677" s="699"/>
      <c r="F677" s="699"/>
      <c r="G677" s="699"/>
      <c r="H677" s="699">
        <v>4.5</v>
      </c>
      <c r="I677" s="699"/>
      <c r="J677" s="699"/>
      <c r="K677" s="699"/>
      <c r="L677" s="699"/>
      <c r="M677" s="699">
        <v>120</v>
      </c>
      <c r="N677" s="699"/>
      <c r="O677" s="699"/>
      <c r="P677" s="699"/>
      <c r="Q677" s="699"/>
    </row>
    <row r="678" spans="1:17">
      <c r="A678" s="687" t="s">
        <v>180</v>
      </c>
      <c r="B678" s="688"/>
      <c r="C678" s="700">
        <f>(C675-C676)/C677</f>
        <v>0</v>
      </c>
      <c r="D678" s="700"/>
      <c r="E678" s="700"/>
      <c r="F678" s="700"/>
      <c r="G678" s="700"/>
      <c r="H678" s="700">
        <f t="shared" ref="H678" si="64">(H675-H676)/H677</f>
        <v>0</v>
      </c>
      <c r="I678" s="700"/>
      <c r="J678" s="700"/>
      <c r="K678" s="700"/>
      <c r="L678" s="700"/>
      <c r="M678" s="700">
        <f t="shared" ref="M678" si="65">(M675-M676)/M677</f>
        <v>0</v>
      </c>
      <c r="N678" s="700"/>
      <c r="O678" s="700"/>
      <c r="P678" s="700"/>
      <c r="Q678" s="700"/>
    </row>
    <row r="679" spans="1:17">
      <c r="A679" s="687" t="s">
        <v>159</v>
      </c>
      <c r="B679" s="688"/>
      <c r="C679" s="699" t="s">
        <v>181</v>
      </c>
      <c r="D679" s="699"/>
      <c r="E679" s="699"/>
      <c r="F679" s="699"/>
      <c r="G679" s="699"/>
      <c r="H679" s="699" t="s">
        <v>181</v>
      </c>
      <c r="I679" s="699"/>
      <c r="J679" s="699"/>
      <c r="K679" s="699"/>
      <c r="L679" s="699"/>
      <c r="M679" s="699" t="s">
        <v>181</v>
      </c>
      <c r="N679" s="699"/>
      <c r="O679" s="699"/>
      <c r="P679" s="699"/>
      <c r="Q679" s="699"/>
    </row>
    <row r="680" spans="1:17" s="1" customFormat="1">
      <c r="A680" s="687" t="s">
        <v>44</v>
      </c>
      <c r="B680" s="688"/>
      <c r="C680" s="689" t="str">
        <f>IF(C678 &lt;= 2%, "Pass", "Fail")</f>
        <v>Pass</v>
      </c>
      <c r="D680" s="690"/>
      <c r="E680" s="690"/>
      <c r="F680" s="690"/>
      <c r="G680" s="690"/>
      <c r="H680" s="689" t="str">
        <f t="shared" ref="H680" si="66">IF(H678 &lt;= 2%, "Pass", "Fail")</f>
        <v>Pass</v>
      </c>
      <c r="I680" s="689"/>
      <c r="J680" s="690"/>
      <c r="K680" s="690"/>
      <c r="L680" s="690"/>
      <c r="M680" s="689" t="str">
        <f t="shared" ref="M680" si="67">IF(M678 &lt;= 2%, "Pass", "Fail")</f>
        <v>Pass</v>
      </c>
      <c r="N680" s="690"/>
      <c r="O680" s="690"/>
      <c r="P680" s="690"/>
      <c r="Q680" s="690"/>
    </row>
    <row r="681" spans="1:17">
      <c r="A681" s="843"/>
      <c r="B681" s="844"/>
      <c r="C681" s="844"/>
      <c r="D681" s="844"/>
      <c r="E681" s="844"/>
      <c r="F681" s="844"/>
      <c r="G681" s="844"/>
      <c r="H681" s="844"/>
      <c r="I681" s="844"/>
      <c r="J681" s="844"/>
      <c r="K681" s="844"/>
      <c r="L681" s="844"/>
      <c r="M681" s="844"/>
      <c r="N681" s="844"/>
      <c r="O681" s="844"/>
      <c r="P681" s="844"/>
      <c r="Q681" s="845"/>
    </row>
    <row r="682" spans="1:17">
      <c r="A682" s="691" t="s">
        <v>356</v>
      </c>
      <c r="B682" s="692"/>
      <c r="C682" s="692"/>
      <c r="D682" s="692"/>
      <c r="E682" s="692"/>
      <c r="F682" s="692"/>
      <c r="G682" s="692"/>
      <c r="H682" s="692"/>
      <c r="I682" s="692"/>
      <c r="J682" s="692"/>
      <c r="K682" s="692"/>
      <c r="L682" s="692"/>
      <c r="M682" s="692"/>
      <c r="N682" s="692"/>
      <c r="O682" s="692"/>
      <c r="P682" s="692"/>
      <c r="Q682" s="693"/>
    </row>
    <row r="683" spans="1:17" ht="93.75" customHeight="1">
      <c r="A683" s="704" t="s">
        <v>182</v>
      </c>
      <c r="B683" s="704"/>
      <c r="C683" s="704"/>
      <c r="D683" s="704"/>
      <c r="E683" s="704"/>
      <c r="F683" s="704"/>
      <c r="G683" s="704"/>
      <c r="H683" s="704"/>
      <c r="I683" s="704"/>
      <c r="J683" s="704"/>
      <c r="K683" s="704"/>
      <c r="L683" s="704"/>
      <c r="M683" s="704"/>
      <c r="N683" s="704"/>
      <c r="O683" s="704"/>
      <c r="P683" s="704"/>
      <c r="Q683" s="704"/>
    </row>
    <row r="684" spans="1:17">
      <c r="A684" s="694" t="s">
        <v>149</v>
      </c>
      <c r="B684" s="694"/>
      <c r="C684" s="694" t="s">
        <v>2</v>
      </c>
      <c r="D684" s="694"/>
      <c r="E684" s="694"/>
      <c r="F684" s="695" t="s">
        <v>1</v>
      </c>
      <c r="G684" s="696"/>
      <c r="H684" s="697"/>
      <c r="I684" s="694" t="s">
        <v>3</v>
      </c>
      <c r="J684" s="694"/>
      <c r="K684" s="694"/>
      <c r="L684" s="25"/>
      <c r="M684" s="26"/>
      <c r="N684" s="26"/>
      <c r="O684" s="26"/>
      <c r="P684" s="26"/>
      <c r="Q684" s="27"/>
    </row>
    <row r="685" spans="1:17" ht="19">
      <c r="A685" s="698" t="s">
        <v>190</v>
      </c>
      <c r="B685" s="698"/>
      <c r="C685" s="68" t="s">
        <v>183</v>
      </c>
      <c r="D685" s="68" t="s">
        <v>216</v>
      </c>
      <c r="E685" s="68" t="s">
        <v>183</v>
      </c>
      <c r="F685" s="68" t="s">
        <v>183</v>
      </c>
      <c r="G685" s="68" t="s">
        <v>184</v>
      </c>
      <c r="H685" s="68" t="s">
        <v>183</v>
      </c>
      <c r="I685" s="68" t="s">
        <v>183</v>
      </c>
      <c r="J685" s="68" t="s">
        <v>184</v>
      </c>
      <c r="K685" s="68" t="s">
        <v>183</v>
      </c>
      <c r="L685" s="31"/>
      <c r="M685" s="32"/>
      <c r="N685" s="32"/>
      <c r="O685" s="32"/>
      <c r="P685" s="32"/>
      <c r="Q685" s="33"/>
    </row>
    <row r="686" spans="1:17">
      <c r="A686" s="670" t="s">
        <v>185</v>
      </c>
      <c r="B686" s="670"/>
      <c r="C686" s="67"/>
      <c r="D686" s="67"/>
      <c r="E686" s="67"/>
      <c r="F686" s="67"/>
      <c r="G686" s="67"/>
      <c r="H686" s="67"/>
      <c r="I686" s="67"/>
      <c r="J686" s="67"/>
      <c r="K686" s="67"/>
      <c r="L686" s="28"/>
      <c r="M686" s="29"/>
      <c r="N686" s="29"/>
      <c r="O686" s="29"/>
      <c r="P686" s="29"/>
      <c r="Q686" s="30"/>
    </row>
    <row r="687" spans="1:17">
      <c r="A687" s="670" t="s">
        <v>186</v>
      </c>
      <c r="B687" s="670"/>
      <c r="C687" s="67"/>
      <c r="D687" s="67"/>
      <c r="E687" s="67"/>
      <c r="F687" s="67"/>
      <c r="G687" s="67"/>
      <c r="H687" s="67"/>
      <c r="I687" s="67"/>
      <c r="J687" s="67"/>
      <c r="K687" s="67"/>
      <c r="L687" s="28"/>
      <c r="M687" s="29"/>
      <c r="N687" s="29"/>
      <c r="O687" s="29"/>
      <c r="P687" s="29"/>
      <c r="Q687" s="30"/>
    </row>
    <row r="688" spans="1:17">
      <c r="A688" s="670" t="s">
        <v>187</v>
      </c>
      <c r="B688" s="670"/>
      <c r="C688" s="67"/>
      <c r="D688" s="67"/>
      <c r="E688" s="67"/>
      <c r="F688" s="67"/>
      <c r="G688" s="67"/>
      <c r="H688" s="67"/>
      <c r="I688" s="67"/>
      <c r="J688" s="67"/>
      <c r="K688" s="67"/>
      <c r="L688" s="28"/>
      <c r="M688" s="29"/>
      <c r="N688" s="29"/>
      <c r="O688" s="29"/>
      <c r="P688" s="29"/>
      <c r="Q688" s="30"/>
    </row>
    <row r="689" spans="1:17">
      <c r="A689" s="670" t="s">
        <v>188</v>
      </c>
      <c r="B689" s="670"/>
      <c r="C689" s="67"/>
      <c r="D689" s="67"/>
      <c r="E689" s="67"/>
      <c r="F689" s="67"/>
      <c r="G689" s="67"/>
      <c r="H689" s="67"/>
      <c r="I689" s="67"/>
      <c r="J689" s="67"/>
      <c r="K689" s="67"/>
      <c r="L689" s="28"/>
      <c r="M689" s="29"/>
      <c r="N689" s="29"/>
      <c r="O689" s="29"/>
      <c r="P689" s="29"/>
      <c r="Q689" s="30"/>
    </row>
    <row r="690" spans="1:17">
      <c r="A690" s="654" t="s">
        <v>357</v>
      </c>
      <c r="B690" s="654"/>
      <c r="C690" s="655" t="e">
        <f>(SUM(D687:D689) / 3 - D686) / (SUM(D687:D689)/3 - SUM(C687:C689)/3)</f>
        <v>#DIV/0!</v>
      </c>
      <c r="D690" s="655"/>
      <c r="E690" s="655"/>
      <c r="F690" s="656" t="e">
        <f>(SUM(G687:G689) / 3 - G686) / (SUM(G687:G689)/3 - SUM(F687:F689)/3)</f>
        <v>#DIV/0!</v>
      </c>
      <c r="G690" s="657"/>
      <c r="H690" s="658"/>
      <c r="I690" s="655" t="e">
        <f>(SUM(J687:J689) / 3 - J686) / (SUM(J687:J689)/3 - SUM(I687:I689)/3)</f>
        <v>#DIV/0!</v>
      </c>
      <c r="J690" s="655"/>
      <c r="K690" s="655"/>
      <c r="L690" s="28"/>
      <c r="M690" s="29"/>
      <c r="N690" s="29"/>
      <c r="O690" s="29"/>
      <c r="P690" s="29"/>
      <c r="Q690" s="30"/>
    </row>
    <row r="691" spans="1:17">
      <c r="A691" s="654" t="s">
        <v>358</v>
      </c>
      <c r="B691" s="654"/>
      <c r="C691" s="655" t="e">
        <f>(E686-SUM(E687:E689) / 3) / (SUM(D687:D689) / 3-SUM(E687:E689) / 3)</f>
        <v>#DIV/0!</v>
      </c>
      <c r="D691" s="655"/>
      <c r="E691" s="655"/>
      <c r="F691" s="656" t="e">
        <f>(H686-SUM(H687:H689) / 3) / (SUM(G687:G689) / 3-SUM(H687:H689) / 3)</f>
        <v>#DIV/0!</v>
      </c>
      <c r="G691" s="657"/>
      <c r="H691" s="658"/>
      <c r="I691" s="655" t="e">
        <f>(K686-SUM(K687:K689) / 3) / (SUM(J687:J689) / 3-SUM(K687:K689) / 3)</f>
        <v>#DIV/0!</v>
      </c>
      <c r="J691" s="655"/>
      <c r="K691" s="655"/>
      <c r="L691" s="28"/>
      <c r="M691" s="29"/>
      <c r="N691" s="29"/>
      <c r="O691" s="29"/>
      <c r="P691" s="29"/>
      <c r="Q691" s="30"/>
    </row>
    <row r="692" spans="1:17">
      <c r="A692" s="659" t="s">
        <v>214</v>
      </c>
      <c r="B692" s="660"/>
      <c r="C692" s="663" t="s">
        <v>215</v>
      </c>
      <c r="D692" s="663"/>
      <c r="E692" s="663"/>
      <c r="F692" s="664" t="s">
        <v>189</v>
      </c>
      <c r="G692" s="665"/>
      <c r="H692" s="666"/>
      <c r="I692" s="663" t="s">
        <v>189</v>
      </c>
      <c r="J692" s="663"/>
      <c r="K692" s="663"/>
      <c r="L692" s="28"/>
      <c r="M692" s="29"/>
      <c r="N692" s="29"/>
      <c r="O692" s="29"/>
      <c r="P692" s="29"/>
      <c r="Q692" s="30"/>
    </row>
    <row r="693" spans="1:17">
      <c r="A693" s="661"/>
      <c r="B693" s="662"/>
      <c r="C693" s="663"/>
      <c r="D693" s="663"/>
      <c r="E693" s="663"/>
      <c r="F693" s="667"/>
      <c r="G693" s="668"/>
      <c r="H693" s="669"/>
      <c r="I693" s="663"/>
      <c r="J693" s="663"/>
      <c r="K693" s="663"/>
      <c r="L693" s="28"/>
      <c r="M693" s="29"/>
      <c r="N693" s="29"/>
      <c r="O693" s="29"/>
      <c r="P693" s="29"/>
      <c r="Q693" s="30"/>
    </row>
    <row r="694" spans="1:17">
      <c r="A694" s="670" t="s">
        <v>6</v>
      </c>
      <c r="B694" s="670"/>
      <c r="C694" s="671" t="e">
        <f>IF(AND(C690 &lt;= 1.5%, C691 &lt;= 1.5%), "Pass", "Fail")</f>
        <v>#DIV/0!</v>
      </c>
      <c r="D694" s="671"/>
      <c r="E694" s="671"/>
      <c r="F694" s="672" t="e">
        <f t="shared" ref="F694" si="68">IF(AND(F690 &lt;= 1.5%, F691 &lt;= 1.5%), "Pass", "Fail")</f>
        <v>#DIV/0!</v>
      </c>
      <c r="G694" s="673"/>
      <c r="H694" s="674"/>
      <c r="I694" s="671" t="e">
        <f t="shared" ref="I694" si="69">IF(AND(I690 &lt;= 1.5%, I691 &lt;= 1.5%), "Pass", "Fail")</f>
        <v>#DIV/0!</v>
      </c>
      <c r="J694" s="671"/>
      <c r="K694" s="671"/>
      <c r="L694" s="29"/>
      <c r="M694" s="29"/>
      <c r="N694" s="29"/>
      <c r="O694" s="29"/>
      <c r="P694" s="29"/>
      <c r="Q694" s="29"/>
    </row>
    <row r="695" spans="1:17" s="1" customFormat="1" ht="14.5">
      <c r="A695" s="734" t="s">
        <v>360</v>
      </c>
      <c r="B695" s="735"/>
      <c r="C695" s="735"/>
      <c r="D695" s="735"/>
      <c r="E695" s="735"/>
      <c r="F695" s="735"/>
      <c r="G695" s="735"/>
      <c r="H695" s="735"/>
      <c r="I695" s="735"/>
      <c r="J695" s="735"/>
      <c r="K695" s="735"/>
      <c r="L695" s="735"/>
      <c r="M695" s="735"/>
      <c r="N695" s="735"/>
      <c r="O695" s="735"/>
      <c r="P695" s="735"/>
      <c r="Q695" s="736"/>
    </row>
    <row r="696" spans="1:17" s="1" customFormat="1">
      <c r="A696" s="737" t="s">
        <v>364</v>
      </c>
      <c r="B696" s="738"/>
      <c r="C696" s="738"/>
      <c r="D696" s="738"/>
      <c r="E696" s="738"/>
      <c r="F696" s="738"/>
      <c r="G696" s="738"/>
      <c r="H696" s="738"/>
      <c r="I696" s="738"/>
      <c r="J696" s="738"/>
      <c r="K696" s="738"/>
      <c r="L696" s="738"/>
      <c r="M696" s="738"/>
      <c r="N696" s="738"/>
      <c r="O696" s="738"/>
      <c r="P696" s="738"/>
      <c r="Q696" s="739"/>
    </row>
    <row r="697" spans="1:17" s="1" customFormat="1" ht="14.5">
      <c r="A697" s="974" t="s">
        <v>148</v>
      </c>
      <c r="B697" s="975"/>
      <c r="C697" s="975"/>
      <c r="D697" s="975"/>
      <c r="E697" s="975"/>
      <c r="F697" s="975"/>
      <c r="G697" s="975"/>
      <c r="H697" s="974"/>
      <c r="I697" s="975"/>
      <c r="J697" s="975"/>
      <c r="K697" s="975"/>
      <c r="L697" s="975"/>
      <c r="M697" s="975"/>
      <c r="N697" s="975"/>
      <c r="O697" s="975"/>
      <c r="P697" s="975"/>
      <c r="Q697" s="976"/>
    </row>
    <row r="698" spans="1:17" s="1" customFormat="1" ht="14.5">
      <c r="A698" s="720" t="s">
        <v>150</v>
      </c>
      <c r="B698" s="720"/>
      <c r="C698" s="714" t="s">
        <v>207</v>
      </c>
      <c r="D698" s="714"/>
      <c r="E698" s="714"/>
      <c r="F698" s="714"/>
      <c r="G698" s="714"/>
      <c r="H698" s="714" t="s">
        <v>152</v>
      </c>
      <c r="I698" s="714"/>
      <c r="J698" s="714"/>
      <c r="K698" s="714"/>
      <c r="L698" s="714"/>
      <c r="M698" s="714" t="s">
        <v>208</v>
      </c>
      <c r="N698" s="714"/>
      <c r="O698" s="714"/>
      <c r="P698" s="714"/>
      <c r="Q698" s="714"/>
    </row>
    <row r="699" spans="1:17" s="1" customFormat="1" ht="14.5">
      <c r="A699" s="720" t="s">
        <v>151</v>
      </c>
      <c r="B699" s="720"/>
      <c r="C699" s="714"/>
      <c r="D699" s="714"/>
      <c r="E699" s="714"/>
      <c r="F699" s="714"/>
      <c r="G699" s="714"/>
      <c r="H699" s="714"/>
      <c r="I699" s="714"/>
      <c r="J699" s="714"/>
      <c r="K699" s="714"/>
      <c r="L699" s="714"/>
      <c r="M699" s="714"/>
      <c r="N699" s="714"/>
      <c r="O699" s="714"/>
      <c r="P699" s="714"/>
      <c r="Q699" s="714"/>
    </row>
    <row r="700" spans="1:17" s="1" customFormat="1" ht="14.5">
      <c r="A700" s="720" t="s">
        <v>153</v>
      </c>
      <c r="B700" s="720"/>
      <c r="C700" s="714"/>
      <c r="D700" s="714"/>
      <c r="E700" s="714"/>
      <c r="F700" s="714"/>
      <c r="G700" s="714"/>
      <c r="H700" s="714"/>
      <c r="I700" s="714"/>
      <c r="J700" s="714"/>
      <c r="K700" s="714"/>
      <c r="L700" s="714"/>
      <c r="M700" s="714"/>
      <c r="N700" s="714"/>
      <c r="O700" s="714"/>
      <c r="P700" s="714"/>
      <c r="Q700" s="714"/>
    </row>
    <row r="701" spans="1:17" s="1" customFormat="1" ht="14.5">
      <c r="A701" s="720" t="s">
        <v>154</v>
      </c>
      <c r="B701" s="720"/>
      <c r="C701" s="714"/>
      <c r="D701" s="714"/>
      <c r="E701" s="714"/>
      <c r="F701" s="714"/>
      <c r="G701" s="714"/>
      <c r="H701" s="714"/>
      <c r="I701" s="714"/>
      <c r="J701" s="714"/>
      <c r="K701" s="714"/>
      <c r="L701" s="714"/>
      <c r="M701" s="714"/>
      <c r="N701" s="714"/>
      <c r="O701" s="714"/>
      <c r="P701" s="714"/>
      <c r="Q701" s="714"/>
    </row>
    <row r="702" spans="1:17" s="1" customFormat="1" ht="14.5">
      <c r="A702" s="720" t="s">
        <v>155</v>
      </c>
      <c r="B702" s="720"/>
      <c r="C702" s="714"/>
      <c r="D702" s="714"/>
      <c r="E702" s="714"/>
      <c r="F702" s="714"/>
      <c r="G702" s="714"/>
      <c r="H702" s="714"/>
      <c r="I702" s="714"/>
      <c r="J702" s="714"/>
      <c r="K702" s="714"/>
      <c r="L702" s="714"/>
      <c r="M702" s="714"/>
      <c r="N702" s="714"/>
      <c r="O702" s="714"/>
      <c r="P702" s="714"/>
      <c r="Q702" s="714"/>
    </row>
    <row r="703" spans="1:17" s="1" customFormat="1" ht="14.5">
      <c r="A703" s="720" t="s">
        <v>156</v>
      </c>
      <c r="B703" s="720"/>
      <c r="C703" s="715" t="e">
        <f>(C700-C699)/C699</f>
        <v>#DIV/0!</v>
      </c>
      <c r="D703" s="715"/>
      <c r="E703" s="715"/>
      <c r="F703" s="715"/>
      <c r="G703" s="715"/>
      <c r="H703" s="715" t="e">
        <f t="shared" ref="H703" si="70">(H700-H699)/H699</f>
        <v>#DIV/0!</v>
      </c>
      <c r="I703" s="715"/>
      <c r="J703" s="715"/>
      <c r="K703" s="715"/>
      <c r="L703" s="715"/>
      <c r="M703" s="715" t="e">
        <f t="shared" ref="M703" si="71">(M700-M699)/M699</f>
        <v>#DIV/0!</v>
      </c>
      <c r="N703" s="715"/>
      <c r="O703" s="715"/>
      <c r="P703" s="715"/>
      <c r="Q703" s="715"/>
    </row>
    <row r="704" spans="1:17" s="1" customFormat="1" ht="14.5">
      <c r="A704" s="720" t="s">
        <v>157</v>
      </c>
      <c r="B704" s="720"/>
      <c r="C704" s="715" t="e">
        <f>(C701-C699)/C699</f>
        <v>#DIV/0!</v>
      </c>
      <c r="D704" s="715"/>
      <c r="E704" s="715"/>
      <c r="F704" s="715"/>
      <c r="G704" s="715"/>
      <c r="H704" s="715" t="e">
        <f t="shared" ref="H704" si="72">(H701-H699)/H699</f>
        <v>#DIV/0!</v>
      </c>
      <c r="I704" s="715"/>
      <c r="J704" s="715"/>
      <c r="K704" s="715"/>
      <c r="L704" s="715"/>
      <c r="M704" s="715" t="e">
        <f t="shared" ref="M704" si="73">(M701-M699)/M699</f>
        <v>#DIV/0!</v>
      </c>
      <c r="N704" s="715"/>
      <c r="O704" s="715"/>
      <c r="P704" s="715"/>
      <c r="Q704" s="715"/>
    </row>
    <row r="705" spans="1:17" s="1" customFormat="1" ht="14.5">
      <c r="A705" s="720" t="s">
        <v>158</v>
      </c>
      <c r="B705" s="720"/>
      <c r="C705" s="728" t="e">
        <f>(C702-C699)/C699</f>
        <v>#DIV/0!</v>
      </c>
      <c r="D705" s="729"/>
      <c r="E705" s="729"/>
      <c r="F705" s="729"/>
      <c r="G705" s="730"/>
      <c r="H705" s="728" t="e">
        <f t="shared" ref="H705" si="74">(H702-H699)/H699</f>
        <v>#DIV/0!</v>
      </c>
      <c r="I705" s="729"/>
      <c r="J705" s="729"/>
      <c r="K705" s="729"/>
      <c r="L705" s="730"/>
      <c r="M705" s="728" t="e">
        <f t="shared" ref="M705" si="75">(M702-M699)/M699</f>
        <v>#DIV/0!</v>
      </c>
      <c r="N705" s="729"/>
      <c r="O705" s="729"/>
      <c r="P705" s="729"/>
      <c r="Q705" s="730"/>
    </row>
    <row r="706" spans="1:17" s="1" customFormat="1" ht="14.5">
      <c r="A706" s="720" t="s">
        <v>159</v>
      </c>
      <c r="B706" s="720"/>
      <c r="C706" s="714" t="s">
        <v>160</v>
      </c>
      <c r="D706" s="714"/>
      <c r="E706" s="714"/>
      <c r="F706" s="714"/>
      <c r="G706" s="714"/>
      <c r="H706" s="714" t="s">
        <v>160</v>
      </c>
      <c r="I706" s="714"/>
      <c r="J706" s="714"/>
      <c r="K706" s="714"/>
      <c r="L706" s="714"/>
      <c r="M706" s="714" t="s">
        <v>160</v>
      </c>
      <c r="N706" s="714"/>
      <c r="O706" s="714"/>
      <c r="P706" s="714"/>
      <c r="Q706" s="714"/>
    </row>
    <row r="707" spans="1:17" s="1" customFormat="1">
      <c r="A707" s="721" t="s">
        <v>44</v>
      </c>
      <c r="B707" s="721"/>
      <c r="C707" s="723" t="str">
        <f>IF((COUNTIF(C703:C705, "&gt;3%") + COUNTIF(C703:C705, "&lt;-3%") &gt;=  2), "Fail", "Pass")</f>
        <v>Pass</v>
      </c>
      <c r="D707" s="724"/>
      <c r="E707" s="724"/>
      <c r="F707" s="724"/>
      <c r="G707" s="724"/>
      <c r="H707" s="723" t="str">
        <f>IF((COUNTIF(H703:H705, "&gt;3%") + COUNTIF(H703:H705, "&lt;-3%") &gt;=  2), "Fail", "Pass")</f>
        <v>Pass</v>
      </c>
      <c r="I707" s="723"/>
      <c r="J707" s="724"/>
      <c r="K707" s="724"/>
      <c r="L707" s="724"/>
      <c r="M707" s="723" t="str">
        <f t="shared" ref="M707" si="76">IF((COUNTIF(M703:M705, "&gt;3%") + COUNTIF(M703:M705, "&lt;-3%") &gt;=  2), "Fail", "Pass")</f>
        <v>Pass</v>
      </c>
      <c r="N707" s="724"/>
      <c r="O707" s="724"/>
      <c r="P707" s="724"/>
      <c r="Q707" s="724"/>
    </row>
    <row r="708" spans="1:17" s="1" customFormat="1">
      <c r="A708" s="731" t="s">
        <v>161</v>
      </c>
      <c r="B708" s="732"/>
      <c r="C708" s="732"/>
      <c r="D708" s="732"/>
      <c r="E708" s="732"/>
      <c r="F708" s="732"/>
      <c r="G708" s="732"/>
      <c r="H708" s="732"/>
      <c r="I708" s="732"/>
      <c r="J708" s="732"/>
      <c r="K708" s="732"/>
      <c r="L708" s="732"/>
      <c r="M708" s="732"/>
      <c r="N708" s="732"/>
      <c r="O708" s="732"/>
      <c r="P708" s="732"/>
      <c r="Q708" s="733"/>
    </row>
    <row r="709" spans="1:17" s="1" customFormat="1" ht="14.5">
      <c r="A709" s="974" t="s">
        <v>352</v>
      </c>
      <c r="B709" s="975"/>
      <c r="C709" s="975"/>
      <c r="D709" s="975"/>
      <c r="E709" s="975"/>
      <c r="F709" s="975"/>
      <c r="G709" s="975"/>
      <c r="H709" s="974"/>
      <c r="I709" s="975"/>
      <c r="J709" s="975"/>
      <c r="K709" s="975"/>
      <c r="L709" s="975"/>
      <c r="M709" s="975"/>
      <c r="N709" s="975"/>
      <c r="O709" s="975"/>
      <c r="P709" s="975"/>
      <c r="Q709" s="976"/>
    </row>
    <row r="710" spans="1:17" s="1" customFormat="1" ht="14.5">
      <c r="A710" s="720" t="s">
        <v>150</v>
      </c>
      <c r="B710" s="720"/>
      <c r="C710" s="714" t="s">
        <v>207</v>
      </c>
      <c r="D710" s="714"/>
      <c r="E710" s="714"/>
      <c r="F710" s="714"/>
      <c r="G710" s="714"/>
      <c r="H710" s="714" t="s">
        <v>152</v>
      </c>
      <c r="I710" s="714"/>
      <c r="J710" s="714"/>
      <c r="K710" s="714"/>
      <c r="L710" s="714"/>
      <c r="M710" s="714" t="s">
        <v>208</v>
      </c>
      <c r="N710" s="714"/>
      <c r="O710" s="714"/>
      <c r="P710" s="714"/>
      <c r="Q710" s="714"/>
    </row>
    <row r="711" spans="1:17" s="1" customFormat="1" ht="14.5">
      <c r="A711" s="720">
        <v>1</v>
      </c>
      <c r="B711" s="720"/>
      <c r="C711" s="714"/>
      <c r="D711" s="714"/>
      <c r="E711" s="714"/>
      <c r="F711" s="714"/>
      <c r="G711" s="714"/>
      <c r="H711" s="714"/>
      <c r="I711" s="714"/>
      <c r="J711" s="714"/>
      <c r="K711" s="714"/>
      <c r="L711" s="714"/>
      <c r="M711" s="714"/>
      <c r="N711" s="714"/>
      <c r="O711" s="714"/>
      <c r="P711" s="714"/>
      <c r="Q711" s="714"/>
    </row>
    <row r="712" spans="1:17" s="1" customFormat="1" ht="14.5">
      <c r="A712" s="720">
        <v>2</v>
      </c>
      <c r="B712" s="720"/>
      <c r="C712" s="714"/>
      <c r="D712" s="714"/>
      <c r="E712" s="714"/>
      <c r="F712" s="714"/>
      <c r="G712" s="714"/>
      <c r="H712" s="714"/>
      <c r="I712" s="714"/>
      <c r="J712" s="714"/>
      <c r="K712" s="714"/>
      <c r="L712" s="714"/>
      <c r="M712" s="714"/>
      <c r="N712" s="714"/>
      <c r="O712" s="714"/>
      <c r="P712" s="714"/>
      <c r="Q712" s="714"/>
    </row>
    <row r="713" spans="1:17" s="1" customFormat="1" ht="14.5">
      <c r="A713" s="720">
        <v>3</v>
      </c>
      <c r="B713" s="720"/>
      <c r="C713" s="714"/>
      <c r="D713" s="714"/>
      <c r="E713" s="714"/>
      <c r="F713" s="714"/>
      <c r="G713" s="714"/>
      <c r="H713" s="714"/>
      <c r="I713" s="714"/>
      <c r="J713" s="714"/>
      <c r="K713" s="714"/>
      <c r="L713" s="714"/>
      <c r="M713" s="714"/>
      <c r="N713" s="714"/>
      <c r="O713" s="714"/>
      <c r="P713" s="714"/>
      <c r="Q713" s="714"/>
    </row>
    <row r="714" spans="1:17" s="1" customFormat="1" ht="14.5">
      <c r="A714" s="720">
        <v>4</v>
      </c>
      <c r="B714" s="720"/>
      <c r="C714" s="714"/>
      <c r="D714" s="714"/>
      <c r="E714" s="714"/>
      <c r="F714" s="714"/>
      <c r="G714" s="714"/>
      <c r="H714" s="714"/>
      <c r="I714" s="714"/>
      <c r="J714" s="714"/>
      <c r="K714" s="714"/>
      <c r="L714" s="714"/>
      <c r="M714" s="714"/>
      <c r="N714" s="714"/>
      <c r="O714" s="714"/>
      <c r="P714" s="714"/>
      <c r="Q714" s="714"/>
    </row>
    <row r="715" spans="1:17" s="1" customFormat="1" ht="14.5">
      <c r="A715" s="720">
        <v>5</v>
      </c>
      <c r="B715" s="720"/>
      <c r="C715" s="714"/>
      <c r="D715" s="714"/>
      <c r="E715" s="714"/>
      <c r="F715" s="714"/>
      <c r="G715" s="714"/>
      <c r="H715" s="714"/>
      <c r="I715" s="714"/>
      <c r="J715" s="714"/>
      <c r="K715" s="714"/>
      <c r="L715" s="714"/>
      <c r="M715" s="714"/>
      <c r="N715" s="714"/>
      <c r="O715" s="714"/>
      <c r="P715" s="714"/>
      <c r="Q715" s="714"/>
    </row>
    <row r="716" spans="1:17" s="1" customFormat="1" ht="14.5">
      <c r="A716" s="720">
        <v>6</v>
      </c>
      <c r="B716" s="720"/>
      <c r="C716" s="714"/>
      <c r="D716" s="714"/>
      <c r="E716" s="714"/>
      <c r="F716" s="714"/>
      <c r="G716" s="714"/>
      <c r="H716" s="714"/>
      <c r="I716" s="714"/>
      <c r="J716" s="714"/>
      <c r="K716" s="714"/>
      <c r="L716" s="714"/>
      <c r="M716" s="714"/>
      <c r="N716" s="714"/>
      <c r="O716" s="714"/>
      <c r="P716" s="714"/>
      <c r="Q716" s="714"/>
    </row>
    <row r="717" spans="1:17" s="1" customFormat="1" ht="14.5">
      <c r="A717" s="720">
        <v>7</v>
      </c>
      <c r="B717" s="720"/>
      <c r="C717" s="714"/>
      <c r="D717" s="714"/>
      <c r="E717" s="714"/>
      <c r="F717" s="714"/>
      <c r="G717" s="714"/>
      <c r="H717" s="714"/>
      <c r="I717" s="714"/>
      <c r="J717" s="714"/>
      <c r="K717" s="714"/>
      <c r="L717" s="714"/>
      <c r="M717" s="714"/>
      <c r="N717" s="714"/>
      <c r="O717" s="714"/>
      <c r="P717" s="714"/>
      <c r="Q717" s="714"/>
    </row>
    <row r="718" spans="1:17" s="1" customFormat="1" ht="14.5">
      <c r="A718" s="720">
        <v>8</v>
      </c>
      <c r="B718" s="720"/>
      <c r="C718" s="714"/>
      <c r="D718" s="714"/>
      <c r="E718" s="714"/>
      <c r="F718" s="714"/>
      <c r="G718" s="714"/>
      <c r="H718" s="714"/>
      <c r="I718" s="714"/>
      <c r="J718" s="714"/>
      <c r="K718" s="714"/>
      <c r="L718" s="714"/>
      <c r="M718" s="714"/>
      <c r="N718" s="714"/>
      <c r="O718" s="714"/>
      <c r="P718" s="714"/>
      <c r="Q718" s="714"/>
    </row>
    <row r="719" spans="1:17" s="1" customFormat="1" ht="14.5">
      <c r="A719" s="720">
        <v>9</v>
      </c>
      <c r="B719" s="720"/>
      <c r="C719" s="714"/>
      <c r="D719" s="714"/>
      <c r="E719" s="714"/>
      <c r="F719" s="714"/>
      <c r="G719" s="714"/>
      <c r="H719" s="714"/>
      <c r="I719" s="714"/>
      <c r="J719" s="714"/>
      <c r="K719" s="714"/>
      <c r="L719" s="714"/>
      <c r="M719" s="714"/>
      <c r="N719" s="714"/>
      <c r="O719" s="714"/>
      <c r="P719" s="714"/>
      <c r="Q719" s="714"/>
    </row>
    <row r="720" spans="1:17" s="1" customFormat="1" ht="14.5">
      <c r="A720" s="720">
        <v>10</v>
      </c>
      <c r="B720" s="720"/>
      <c r="C720" s="714"/>
      <c r="D720" s="714"/>
      <c r="E720" s="714"/>
      <c r="F720" s="714"/>
      <c r="G720" s="714"/>
      <c r="H720" s="714"/>
      <c r="I720" s="714"/>
      <c r="J720" s="714"/>
      <c r="K720" s="714"/>
      <c r="L720" s="714"/>
      <c r="M720" s="714"/>
      <c r="N720" s="714"/>
      <c r="O720" s="714"/>
      <c r="P720" s="714"/>
      <c r="Q720" s="714"/>
    </row>
    <row r="721" spans="1:17" s="1" customFormat="1" ht="14.5">
      <c r="A721" s="720" t="s">
        <v>162</v>
      </c>
      <c r="B721" s="720"/>
      <c r="C721" s="714" t="e">
        <f>AVERAGE(C711:G720)</f>
        <v>#DIV/0!</v>
      </c>
      <c r="D721" s="714"/>
      <c r="E721" s="714"/>
      <c r="F721" s="714"/>
      <c r="G721" s="714"/>
      <c r="H721" s="714" t="e">
        <f t="shared" ref="H721" si="77">AVERAGE(H711:L720)</f>
        <v>#DIV/0!</v>
      </c>
      <c r="I721" s="714"/>
      <c r="J721" s="714"/>
      <c r="K721" s="714"/>
      <c r="L721" s="714"/>
      <c r="M721" s="714" t="e">
        <f t="shared" ref="M721" si="78">AVERAGE(M711:Q720)</f>
        <v>#DIV/0!</v>
      </c>
      <c r="N721" s="714"/>
      <c r="O721" s="714"/>
      <c r="P721" s="714"/>
      <c r="Q721" s="714"/>
    </row>
    <row r="722" spans="1:17" s="1" customFormat="1" ht="14.5">
      <c r="A722" s="720" t="s">
        <v>163</v>
      </c>
      <c r="B722" s="720"/>
      <c r="C722" s="714" t="e">
        <f>STDEV(C711:G720)</f>
        <v>#DIV/0!</v>
      </c>
      <c r="D722" s="714"/>
      <c r="E722" s="714"/>
      <c r="F722" s="714"/>
      <c r="G722" s="714"/>
      <c r="H722" s="714" t="e">
        <f t="shared" ref="H722" si="79">STDEV(H711:L720)</f>
        <v>#DIV/0!</v>
      </c>
      <c r="I722" s="714"/>
      <c r="J722" s="714"/>
      <c r="K722" s="714"/>
      <c r="L722" s="714"/>
      <c r="M722" s="714" t="e">
        <f t="shared" ref="M722" si="80">STDEV(M711:Q720)</f>
        <v>#DIV/0!</v>
      </c>
      <c r="N722" s="714"/>
      <c r="O722" s="714"/>
      <c r="P722" s="714"/>
      <c r="Q722" s="714"/>
    </row>
    <row r="723" spans="1:17" s="1" customFormat="1" ht="15.75" customHeight="1">
      <c r="A723" s="721" t="s">
        <v>164</v>
      </c>
      <c r="B723" s="721"/>
      <c r="C723" s="722" t="e">
        <f>C722/C721</f>
        <v>#DIV/0!</v>
      </c>
      <c r="D723" s="722"/>
      <c r="E723" s="722"/>
      <c r="F723" s="722"/>
      <c r="G723" s="722"/>
      <c r="H723" s="722" t="e">
        <f t="shared" ref="H723" si="81">H722/H721</f>
        <v>#DIV/0!</v>
      </c>
      <c r="I723" s="722"/>
      <c r="J723" s="722"/>
      <c r="K723" s="722"/>
      <c r="L723" s="722"/>
      <c r="M723" s="722" t="e">
        <f t="shared" ref="M723" si="82">M722/M721</f>
        <v>#DIV/0!</v>
      </c>
      <c r="N723" s="722"/>
      <c r="O723" s="722"/>
      <c r="P723" s="722"/>
      <c r="Q723" s="722"/>
    </row>
    <row r="724" spans="1:17" s="1" customFormat="1">
      <c r="A724" s="721" t="s">
        <v>159</v>
      </c>
      <c r="B724" s="721"/>
      <c r="C724" s="711" t="s">
        <v>165</v>
      </c>
      <c r="D724" s="712"/>
      <c r="E724" s="712"/>
      <c r="F724" s="712"/>
      <c r="G724" s="713"/>
      <c r="H724" s="711" t="s">
        <v>165</v>
      </c>
      <c r="I724" s="712"/>
      <c r="J724" s="712"/>
      <c r="K724" s="712"/>
      <c r="L724" s="713"/>
      <c r="M724" s="711" t="s">
        <v>165</v>
      </c>
      <c r="N724" s="712"/>
      <c r="O724" s="712"/>
      <c r="P724" s="712"/>
      <c r="Q724" s="713"/>
    </row>
    <row r="725" spans="1:17" s="1" customFormat="1">
      <c r="A725" s="721" t="s">
        <v>44</v>
      </c>
      <c r="B725" s="721"/>
      <c r="C725" s="723" t="e">
        <f>IF(C723&lt;=1.5%, "Pass", "Fail")</f>
        <v>#DIV/0!</v>
      </c>
      <c r="D725" s="724"/>
      <c r="E725" s="724"/>
      <c r="F725" s="724"/>
      <c r="G725" s="724"/>
      <c r="H725" s="723" t="e">
        <f t="shared" ref="H725" si="83">IF(H723&lt;=1.5%, "Pass", "Fail")</f>
        <v>#DIV/0!</v>
      </c>
      <c r="I725" s="723"/>
      <c r="J725" s="724"/>
      <c r="K725" s="724"/>
      <c r="L725" s="724"/>
      <c r="M725" s="723" t="e">
        <f t="shared" ref="M725" si="84">IF(M723&lt;=1.5%, "Pass", "Fail")</f>
        <v>#DIV/0!</v>
      </c>
      <c r="N725" s="724"/>
      <c r="O725" s="724"/>
      <c r="P725" s="724"/>
      <c r="Q725" s="724"/>
    </row>
    <row r="726" spans="1:17" s="1" customFormat="1">
      <c r="A726" s="725" t="s">
        <v>354</v>
      </c>
      <c r="B726" s="726"/>
      <c r="C726" s="726"/>
      <c r="D726" s="726"/>
      <c r="E726" s="726"/>
      <c r="F726" s="726"/>
      <c r="G726" s="726"/>
      <c r="H726" s="726"/>
      <c r="I726" s="726"/>
      <c r="J726" s="726"/>
      <c r="K726" s="726"/>
      <c r="L726" s="726"/>
      <c r="M726" s="726"/>
      <c r="N726" s="726"/>
      <c r="O726" s="726"/>
      <c r="P726" s="726"/>
      <c r="Q726" s="727"/>
    </row>
    <row r="727" spans="1:17" s="1" customFormat="1" ht="14.5">
      <c r="A727" s="714" t="s">
        <v>209</v>
      </c>
      <c r="B727" s="714"/>
      <c r="C727" s="714"/>
      <c r="D727" s="714"/>
      <c r="E727" s="714"/>
      <c r="F727" s="714"/>
      <c r="G727" s="714"/>
      <c r="H727" s="714"/>
      <c r="I727" s="714"/>
      <c r="J727" s="714"/>
      <c r="K727" s="714"/>
      <c r="L727" s="714"/>
      <c r="M727" s="714"/>
      <c r="N727" s="714"/>
      <c r="O727" s="714"/>
      <c r="P727" s="714"/>
      <c r="Q727" s="714"/>
    </row>
    <row r="728" spans="1:17" s="1" customFormat="1">
      <c r="A728" s="709" t="s">
        <v>167</v>
      </c>
      <c r="B728" s="709"/>
      <c r="C728" s="719" t="s">
        <v>192</v>
      </c>
      <c r="D728" s="719"/>
      <c r="E728" s="719" t="s">
        <v>267</v>
      </c>
      <c r="F728" s="719"/>
      <c r="G728" s="719"/>
      <c r="H728" s="719"/>
      <c r="I728" s="719"/>
      <c r="J728" s="719"/>
      <c r="K728" s="719"/>
      <c r="L728" s="719"/>
      <c r="M728" s="719" t="s">
        <v>168</v>
      </c>
      <c r="N728" s="719"/>
      <c r="O728" s="719" t="s">
        <v>218</v>
      </c>
      <c r="P728" s="719"/>
      <c r="Q728" s="719"/>
    </row>
    <row r="729" spans="1:17" s="1" customFormat="1">
      <c r="A729" s="709"/>
      <c r="B729" s="709"/>
      <c r="C729" s="719"/>
      <c r="D729" s="719"/>
      <c r="E729" s="719">
        <v>1</v>
      </c>
      <c r="F729" s="719"/>
      <c r="G729" s="719"/>
      <c r="H729" s="719">
        <v>2</v>
      </c>
      <c r="I729" s="719"/>
      <c r="J729" s="719"/>
      <c r="K729" s="719">
        <v>3</v>
      </c>
      <c r="L729" s="719"/>
      <c r="M729" s="719"/>
      <c r="N729" s="719"/>
      <c r="O729" s="719"/>
      <c r="P729" s="719"/>
      <c r="Q729" s="719"/>
    </row>
    <row r="730" spans="1:17" s="1" customFormat="1" ht="14.5">
      <c r="A730" s="709">
        <v>1</v>
      </c>
      <c r="B730" s="709"/>
      <c r="C730" s="710">
        <v>100</v>
      </c>
      <c r="D730" s="709"/>
      <c r="E730" s="711"/>
      <c r="F730" s="712"/>
      <c r="G730" s="713"/>
      <c r="H730" s="711"/>
      <c r="I730" s="712"/>
      <c r="J730" s="713"/>
      <c r="K730" s="711"/>
      <c r="L730" s="713"/>
      <c r="M730" s="714" t="e">
        <f>AVERAGE(E730:K730)</f>
        <v>#DIV/0!</v>
      </c>
      <c r="N730" s="714"/>
      <c r="O730" s="715" t="e">
        <f>ABS((M730 - (C730*$M$618+$P$618))/(C730*$M$618+$P$618))</f>
        <v>#DIV/0!</v>
      </c>
      <c r="P730" s="715"/>
      <c r="Q730" s="715"/>
    </row>
    <row r="731" spans="1:17" s="1" customFormat="1" ht="14.5">
      <c r="A731" s="709">
        <v>2</v>
      </c>
      <c r="B731" s="709"/>
      <c r="C731" s="710">
        <v>120</v>
      </c>
      <c r="D731" s="709"/>
      <c r="E731" s="711"/>
      <c r="F731" s="712"/>
      <c r="G731" s="713"/>
      <c r="H731" s="711"/>
      <c r="I731" s="712"/>
      <c r="J731" s="713"/>
      <c r="K731" s="711"/>
      <c r="L731" s="713"/>
      <c r="M731" s="714" t="e">
        <f t="shared" ref="M731:M734" si="85">AVERAGE(E731:K731)</f>
        <v>#DIV/0!</v>
      </c>
      <c r="N731" s="714"/>
      <c r="O731" s="715" t="e">
        <f>ABS((M731 - (C731*$M$618+$P$618))/(C731*$M$618+$P$618))</f>
        <v>#DIV/0!</v>
      </c>
      <c r="P731" s="715"/>
      <c r="Q731" s="715"/>
    </row>
    <row r="732" spans="1:17" s="1" customFormat="1" ht="14.5">
      <c r="A732" s="709">
        <v>3</v>
      </c>
      <c r="B732" s="709"/>
      <c r="C732" s="710">
        <v>140</v>
      </c>
      <c r="D732" s="709"/>
      <c r="E732" s="711"/>
      <c r="F732" s="712"/>
      <c r="G732" s="713"/>
      <c r="H732" s="711"/>
      <c r="I732" s="712"/>
      <c r="J732" s="713"/>
      <c r="K732" s="711"/>
      <c r="L732" s="713"/>
      <c r="M732" s="714" t="e">
        <f t="shared" si="85"/>
        <v>#DIV/0!</v>
      </c>
      <c r="N732" s="714"/>
      <c r="O732" s="715" t="e">
        <f>ABS((M732 - (C732*$M$618+$P$618))/(C732*$M$618+$P$618))</f>
        <v>#DIV/0!</v>
      </c>
      <c r="P732" s="715"/>
      <c r="Q732" s="715"/>
    </row>
    <row r="733" spans="1:17" s="1" customFormat="1" ht="14.5">
      <c r="A733" s="709">
        <v>4</v>
      </c>
      <c r="B733" s="709"/>
      <c r="C733" s="710">
        <v>160</v>
      </c>
      <c r="D733" s="709"/>
      <c r="E733" s="711"/>
      <c r="F733" s="712"/>
      <c r="G733" s="713"/>
      <c r="H733" s="711"/>
      <c r="I733" s="712"/>
      <c r="J733" s="713"/>
      <c r="K733" s="711"/>
      <c r="L733" s="713"/>
      <c r="M733" s="714" t="e">
        <f t="shared" si="85"/>
        <v>#DIV/0!</v>
      </c>
      <c r="N733" s="714"/>
      <c r="O733" s="715" t="e">
        <f>ABS((M733 - (C733*$M$618+$P$618))/(C733*$M$618+$P$618))</f>
        <v>#DIV/0!</v>
      </c>
      <c r="P733" s="715"/>
      <c r="Q733" s="715"/>
    </row>
    <row r="734" spans="1:17" s="1" customFormat="1" ht="14.5">
      <c r="A734" s="709">
        <v>5</v>
      </c>
      <c r="B734" s="709"/>
      <c r="C734" s="710">
        <v>180</v>
      </c>
      <c r="D734" s="709"/>
      <c r="E734" s="711"/>
      <c r="F734" s="712"/>
      <c r="G734" s="713"/>
      <c r="H734" s="711"/>
      <c r="I734" s="712"/>
      <c r="J734" s="713"/>
      <c r="K734" s="711"/>
      <c r="L734" s="713"/>
      <c r="M734" s="714" t="e">
        <f t="shared" si="85"/>
        <v>#DIV/0!</v>
      </c>
      <c r="N734" s="714"/>
      <c r="O734" s="715" t="e">
        <f>ABS((M734 - (C734*$M$618+$P$618))/(C734*$M$618+$P$618))</f>
        <v>#DIV/0!</v>
      </c>
      <c r="P734" s="715"/>
      <c r="Q734" s="715"/>
    </row>
    <row r="735" spans="1:17" s="1" customFormat="1" ht="14.5">
      <c r="A735" s="714" t="e">
        <f>"统计：R²="&amp;C736&amp;"，y="&amp;M736&amp;"x + "&amp;P736&amp;""</f>
        <v>#DIV/0!</v>
      </c>
      <c r="B735" s="714"/>
      <c r="C735" s="714"/>
      <c r="D735" s="714"/>
      <c r="E735" s="714"/>
      <c r="F735" s="714"/>
      <c r="G735" s="714"/>
      <c r="H735" s="714"/>
      <c r="I735" s="714"/>
      <c r="J735" s="714"/>
      <c r="K735" s="714"/>
      <c r="L735" s="714"/>
      <c r="M735" s="714"/>
      <c r="N735" s="714"/>
      <c r="O735" s="714"/>
      <c r="P735" s="714"/>
      <c r="Q735" s="714"/>
    </row>
    <row r="736" spans="1:17" s="1" customFormat="1" ht="14.5">
      <c r="A736" s="716" t="s">
        <v>172</v>
      </c>
      <c r="B736" s="717"/>
      <c r="C736" s="716" t="e">
        <f>POWER(H736, 2)</f>
        <v>#DIV/0!</v>
      </c>
      <c r="D736" s="717"/>
      <c r="E736" s="716" t="s">
        <v>171</v>
      </c>
      <c r="F736" s="718"/>
      <c r="G736" s="717"/>
      <c r="H736" s="716" t="e">
        <f>CORREL(M730:M734,(C730:C734)*$M$618+$P$618)</f>
        <v>#DIV/0!</v>
      </c>
      <c r="I736" s="718"/>
      <c r="J736" s="717"/>
      <c r="K736" s="716" t="s">
        <v>170</v>
      </c>
      <c r="L736" s="717"/>
      <c r="M736" s="716" t="e">
        <f>SLOPE(M730:M734, C730:C734)</f>
        <v>#DIV/0!</v>
      </c>
      <c r="N736" s="717"/>
      <c r="O736" s="15" t="s">
        <v>169</v>
      </c>
      <c r="P736" s="718" t="e">
        <f>INTERCEPT(M730:M734, C730:C734)</f>
        <v>#DIV/0!</v>
      </c>
      <c r="Q736" s="717"/>
    </row>
    <row r="737" spans="1:17" s="1" customFormat="1">
      <c r="A737" s="699"/>
      <c r="B737" s="699"/>
      <c r="C737" s="699"/>
      <c r="D737" s="699"/>
      <c r="E737" s="699"/>
      <c r="F737" s="699"/>
      <c r="G737" s="699"/>
      <c r="H737" s="699"/>
      <c r="I737" s="699"/>
      <c r="J737" s="699"/>
      <c r="K737" s="699"/>
      <c r="L737" s="699"/>
      <c r="M737" s="699"/>
      <c r="N737" s="699"/>
      <c r="O737" s="699"/>
      <c r="P737" s="699"/>
      <c r="Q737" s="699"/>
    </row>
    <row r="738" spans="1:17" s="1" customFormat="1" ht="18" customHeight="1">
      <c r="A738" s="699"/>
      <c r="B738" s="699"/>
      <c r="C738" s="699"/>
      <c r="D738" s="699"/>
      <c r="E738" s="699"/>
      <c r="F738" s="699"/>
      <c r="G738" s="699"/>
      <c r="H738" s="699"/>
      <c r="I738" s="699"/>
      <c r="J738" s="699"/>
      <c r="K738" s="699"/>
      <c r="L738" s="699"/>
      <c r="M738" s="699"/>
      <c r="N738" s="699"/>
      <c r="O738" s="699"/>
      <c r="P738" s="699"/>
      <c r="Q738" s="699"/>
    </row>
    <row r="739" spans="1:17" s="1" customFormat="1" ht="21" customHeight="1">
      <c r="A739" s="699"/>
      <c r="B739" s="699"/>
      <c r="C739" s="699"/>
      <c r="D739" s="699"/>
      <c r="E739" s="699"/>
      <c r="F739" s="699"/>
      <c r="G739" s="699"/>
      <c r="H739" s="699"/>
      <c r="I739" s="699"/>
      <c r="J739" s="699"/>
      <c r="K739" s="699"/>
      <c r="L739" s="699"/>
      <c r="M739" s="699"/>
      <c r="N739" s="699"/>
      <c r="O739" s="699"/>
      <c r="P739" s="699"/>
      <c r="Q739" s="699"/>
    </row>
    <row r="740" spans="1:17" s="1" customFormat="1" ht="19.5" customHeight="1">
      <c r="A740" s="699"/>
      <c r="B740" s="699"/>
      <c r="C740" s="699"/>
      <c r="D740" s="699"/>
      <c r="E740" s="699"/>
      <c r="F740" s="699"/>
      <c r="G740" s="699"/>
      <c r="H740" s="699"/>
      <c r="I740" s="699"/>
      <c r="J740" s="699"/>
      <c r="K740" s="699"/>
      <c r="L740" s="699"/>
      <c r="M740" s="699"/>
      <c r="N740" s="699"/>
      <c r="O740" s="699"/>
      <c r="P740" s="699"/>
      <c r="Q740" s="699"/>
    </row>
    <row r="741" spans="1:17" s="1" customFormat="1" ht="24.75" customHeight="1">
      <c r="A741" s="699"/>
      <c r="B741" s="699"/>
      <c r="C741" s="699"/>
      <c r="D741" s="699"/>
      <c r="E741" s="699"/>
      <c r="F741" s="699"/>
      <c r="G741" s="699"/>
      <c r="H741" s="699"/>
      <c r="I741" s="699"/>
      <c r="J741" s="699"/>
      <c r="K741" s="699"/>
      <c r="L741" s="699"/>
      <c r="M741" s="699"/>
      <c r="N741" s="699"/>
      <c r="O741" s="699"/>
      <c r="P741" s="699"/>
      <c r="Q741" s="699"/>
    </row>
    <row r="742" spans="1:17" s="1" customFormat="1" ht="33" customHeight="1">
      <c r="A742" s="699"/>
      <c r="B742" s="699"/>
      <c r="C742" s="699"/>
      <c r="D742" s="699"/>
      <c r="E742" s="699"/>
      <c r="F742" s="699"/>
      <c r="G742" s="699"/>
      <c r="H742" s="699"/>
      <c r="I742" s="699"/>
      <c r="J742" s="699"/>
      <c r="K742" s="699"/>
      <c r="L742" s="699"/>
      <c r="M742" s="699"/>
      <c r="N742" s="699"/>
      <c r="O742" s="699"/>
      <c r="P742" s="699"/>
      <c r="Q742" s="699"/>
    </row>
    <row r="743" spans="1:17" s="1" customFormat="1" ht="48" customHeight="1">
      <c r="A743" s="699"/>
      <c r="B743" s="699"/>
      <c r="C743" s="699"/>
      <c r="D743" s="699"/>
      <c r="E743" s="699"/>
      <c r="F743" s="699"/>
      <c r="G743" s="699"/>
      <c r="H743" s="699"/>
      <c r="I743" s="699"/>
      <c r="J743" s="699"/>
      <c r="K743" s="699"/>
      <c r="L743" s="699"/>
      <c r="M743" s="699"/>
      <c r="N743" s="699"/>
      <c r="O743" s="699"/>
      <c r="P743" s="699"/>
      <c r="Q743" s="699"/>
    </row>
    <row r="744" spans="1:17" s="1" customFormat="1" ht="89.25" customHeight="1">
      <c r="A744" s="699"/>
      <c r="B744" s="699"/>
      <c r="C744" s="699"/>
      <c r="D744" s="699"/>
      <c r="E744" s="699"/>
      <c r="F744" s="699"/>
      <c r="G744" s="699"/>
      <c r="H744" s="699"/>
      <c r="I744" s="699"/>
      <c r="J744" s="699"/>
      <c r="K744" s="699"/>
      <c r="L744" s="699"/>
      <c r="M744" s="699"/>
      <c r="N744" s="699"/>
      <c r="O744" s="699"/>
      <c r="P744" s="699"/>
      <c r="Q744" s="699"/>
    </row>
    <row r="745" spans="1:17" s="1" customFormat="1" ht="30.75" customHeight="1">
      <c r="A745" s="699"/>
      <c r="B745" s="699"/>
      <c r="C745" s="699"/>
      <c r="D745" s="699"/>
      <c r="E745" s="699"/>
      <c r="F745" s="699"/>
      <c r="G745" s="699"/>
      <c r="H745" s="699"/>
      <c r="I745" s="699"/>
      <c r="J745" s="699"/>
      <c r="K745" s="699"/>
      <c r="L745" s="699"/>
      <c r="M745" s="699"/>
      <c r="N745" s="699"/>
      <c r="O745" s="699"/>
      <c r="P745" s="699"/>
      <c r="Q745" s="699"/>
    </row>
    <row r="746" spans="1:17" s="1" customFormat="1">
      <c r="A746" s="52" t="s">
        <v>44</v>
      </c>
      <c r="B746" s="699" t="e">
        <f>IF(AND(MAX(O730:O734) &lt;= 3%, H736 &gt;= 0.995), "Pass", "Fail")</f>
        <v>#DIV/0!</v>
      </c>
      <c r="C746" s="699"/>
      <c r="D746" s="699"/>
      <c r="E746" s="699"/>
      <c r="F746" s="699"/>
      <c r="G746" s="699"/>
      <c r="H746" s="699"/>
      <c r="I746" s="699"/>
      <c r="J746" s="699"/>
      <c r="K746" s="699"/>
      <c r="L746" s="699"/>
      <c r="M746" s="699"/>
      <c r="N746" s="699"/>
      <c r="O746" s="699"/>
      <c r="P746" s="699"/>
      <c r="Q746" s="699"/>
    </row>
    <row r="747" spans="1:17" s="1" customFormat="1" ht="14.5">
      <c r="A747" s="714" t="s">
        <v>173</v>
      </c>
      <c r="B747" s="714"/>
      <c r="C747" s="714"/>
      <c r="D747" s="714"/>
      <c r="E747" s="714"/>
      <c r="F747" s="714"/>
      <c r="G747" s="714"/>
      <c r="H747" s="714"/>
      <c r="I747" s="714"/>
      <c r="J747" s="714"/>
      <c r="K747" s="714"/>
      <c r="L747" s="714"/>
      <c r="M747" s="714"/>
      <c r="N747" s="714"/>
      <c r="O747" s="714"/>
      <c r="P747" s="714"/>
      <c r="Q747" s="714"/>
    </row>
    <row r="748" spans="1:17" s="1" customFormat="1">
      <c r="A748" s="709" t="s">
        <v>167</v>
      </c>
      <c r="B748" s="709"/>
      <c r="C748" s="719" t="s">
        <v>192</v>
      </c>
      <c r="D748" s="719"/>
      <c r="E748" s="719" t="s">
        <v>267</v>
      </c>
      <c r="F748" s="719"/>
      <c r="G748" s="719"/>
      <c r="H748" s="719"/>
      <c r="I748" s="719"/>
      <c r="J748" s="719"/>
      <c r="K748" s="719"/>
      <c r="L748" s="719"/>
      <c r="M748" s="719" t="s">
        <v>168</v>
      </c>
      <c r="N748" s="719"/>
      <c r="O748" s="719" t="s">
        <v>218</v>
      </c>
      <c r="P748" s="719"/>
      <c r="Q748" s="719"/>
    </row>
    <row r="749" spans="1:17" s="1" customFormat="1">
      <c r="A749" s="709"/>
      <c r="B749" s="709"/>
      <c r="C749" s="719"/>
      <c r="D749" s="719"/>
      <c r="E749" s="719">
        <v>1</v>
      </c>
      <c r="F749" s="719"/>
      <c r="G749" s="719"/>
      <c r="H749" s="719">
        <v>2</v>
      </c>
      <c r="I749" s="719"/>
      <c r="J749" s="719"/>
      <c r="K749" s="719">
        <v>3</v>
      </c>
      <c r="L749" s="719"/>
      <c r="M749" s="719"/>
      <c r="N749" s="719"/>
      <c r="O749" s="719"/>
      <c r="P749" s="719"/>
      <c r="Q749" s="719"/>
    </row>
    <row r="750" spans="1:17" s="1" customFormat="1" ht="14.5">
      <c r="A750" s="709">
        <v>1</v>
      </c>
      <c r="B750" s="709"/>
      <c r="C750" s="710">
        <v>1.5</v>
      </c>
      <c r="D750" s="709"/>
      <c r="E750" s="711"/>
      <c r="F750" s="712"/>
      <c r="G750" s="713"/>
      <c r="H750" s="711"/>
      <c r="I750" s="712"/>
      <c r="J750" s="713"/>
      <c r="K750" s="711"/>
      <c r="L750" s="713"/>
      <c r="M750" s="714" t="e">
        <f>AVERAGE(E750:K750)</f>
        <v>#DIV/0!</v>
      </c>
      <c r="N750" s="714"/>
      <c r="O750" s="715" t="e">
        <f>ABS((M750 - (C750*$M$638+$P$638))/(C750*$M$638+$P$638))</f>
        <v>#DIV/0!</v>
      </c>
      <c r="P750" s="715"/>
      <c r="Q750" s="715"/>
    </row>
    <row r="751" spans="1:17" s="1" customFormat="1" ht="14.5">
      <c r="A751" s="709">
        <v>2</v>
      </c>
      <c r="B751" s="709"/>
      <c r="C751" s="710">
        <v>3</v>
      </c>
      <c r="D751" s="709"/>
      <c r="E751" s="711"/>
      <c r="F751" s="712"/>
      <c r="G751" s="713"/>
      <c r="H751" s="711"/>
      <c r="I751" s="712"/>
      <c r="J751" s="713"/>
      <c r="K751" s="711"/>
      <c r="L751" s="713"/>
      <c r="M751" s="714" t="e">
        <f t="shared" ref="M751:M754" si="86">AVERAGE(E751:K751)</f>
        <v>#DIV/0!</v>
      </c>
      <c r="N751" s="714"/>
      <c r="O751" s="715" t="e">
        <f>ABS((M751 - (C751*$M$638+$P$638))/(C751*$M$638+$P$638))</f>
        <v>#DIV/0!</v>
      </c>
      <c r="P751" s="715"/>
      <c r="Q751" s="715"/>
    </row>
    <row r="752" spans="1:17" s="1" customFormat="1" ht="14.5">
      <c r="A752" s="709">
        <v>3</v>
      </c>
      <c r="B752" s="709"/>
      <c r="C752" s="710">
        <v>4.5</v>
      </c>
      <c r="D752" s="709"/>
      <c r="E752" s="711"/>
      <c r="F752" s="712"/>
      <c r="G752" s="713"/>
      <c r="H752" s="711"/>
      <c r="I752" s="712"/>
      <c r="J752" s="713"/>
      <c r="K752" s="711"/>
      <c r="L752" s="713"/>
      <c r="M752" s="714" t="e">
        <f t="shared" si="86"/>
        <v>#DIV/0!</v>
      </c>
      <c r="N752" s="714"/>
      <c r="O752" s="715" t="e">
        <f>ABS((M752 - (C752*$M$638+$P$638))/(C752*$M$638+$P$638))</f>
        <v>#DIV/0!</v>
      </c>
      <c r="P752" s="715"/>
      <c r="Q752" s="715"/>
    </row>
    <row r="753" spans="1:17" s="1" customFormat="1" ht="14.5">
      <c r="A753" s="709">
        <v>4</v>
      </c>
      <c r="B753" s="709"/>
      <c r="C753" s="710">
        <v>6</v>
      </c>
      <c r="D753" s="709"/>
      <c r="E753" s="711"/>
      <c r="F753" s="712"/>
      <c r="G753" s="713"/>
      <c r="H753" s="711"/>
      <c r="I753" s="712"/>
      <c r="J753" s="713"/>
      <c r="K753" s="711"/>
      <c r="L753" s="713"/>
      <c r="M753" s="714" t="e">
        <f t="shared" si="86"/>
        <v>#DIV/0!</v>
      </c>
      <c r="N753" s="714"/>
      <c r="O753" s="715" t="e">
        <f>ABS((M753 - (C753*$M$638+$P$638))/(C753*$M$638+$P$638))</f>
        <v>#DIV/0!</v>
      </c>
      <c r="P753" s="715"/>
      <c r="Q753" s="715"/>
    </row>
    <row r="754" spans="1:17" s="1" customFormat="1" ht="14.5">
      <c r="A754" s="709">
        <v>5</v>
      </c>
      <c r="B754" s="709"/>
      <c r="C754" s="710">
        <v>7.5</v>
      </c>
      <c r="D754" s="709"/>
      <c r="E754" s="711"/>
      <c r="F754" s="712"/>
      <c r="G754" s="713"/>
      <c r="H754" s="711"/>
      <c r="I754" s="712"/>
      <c r="J754" s="713"/>
      <c r="K754" s="711"/>
      <c r="L754" s="713"/>
      <c r="M754" s="714" t="e">
        <f t="shared" si="86"/>
        <v>#DIV/0!</v>
      </c>
      <c r="N754" s="714"/>
      <c r="O754" s="715" t="e">
        <f>ABS((M754 - (C754*$M$638+$P$638))/(C754*$M$638+$P$638))</f>
        <v>#DIV/0!</v>
      </c>
      <c r="P754" s="715"/>
      <c r="Q754" s="715"/>
    </row>
    <row r="755" spans="1:17" s="1" customFormat="1">
      <c r="A755" s="699" t="e">
        <f>"统计：R²="&amp;C756&amp;"，y="&amp;M756&amp;"x + "&amp;P756&amp;""</f>
        <v>#DIV/0!</v>
      </c>
      <c r="B755" s="699"/>
      <c r="C755" s="699"/>
      <c r="D755" s="699"/>
      <c r="E755" s="699"/>
      <c r="F755" s="699"/>
      <c r="G755" s="699"/>
      <c r="H755" s="699"/>
      <c r="I755" s="699"/>
      <c r="J755" s="699"/>
      <c r="K755" s="699"/>
      <c r="L755" s="699"/>
      <c r="M755" s="699"/>
      <c r="N755" s="699"/>
      <c r="O755" s="699"/>
      <c r="P755" s="699"/>
      <c r="Q755" s="699"/>
    </row>
    <row r="756" spans="1:17" s="1" customFormat="1" ht="14.5">
      <c r="A756" s="716" t="s">
        <v>172</v>
      </c>
      <c r="B756" s="717"/>
      <c r="C756" s="716" t="e">
        <f>POWER(H756, 2)</f>
        <v>#DIV/0!</v>
      </c>
      <c r="D756" s="717"/>
      <c r="E756" s="716" t="s">
        <v>171</v>
      </c>
      <c r="F756" s="718"/>
      <c r="G756" s="717"/>
      <c r="H756" s="716" t="e">
        <f>CORREL(M750:M754,(C750:C754)*$M$638+$P$638)</f>
        <v>#DIV/0!</v>
      </c>
      <c r="I756" s="718"/>
      <c r="J756" s="717"/>
      <c r="K756" s="716" t="s">
        <v>170</v>
      </c>
      <c r="L756" s="717"/>
      <c r="M756" s="716" t="e">
        <f>SLOPE(M750:M754, C750:C754)</f>
        <v>#DIV/0!</v>
      </c>
      <c r="N756" s="717"/>
      <c r="O756" s="15" t="s">
        <v>169</v>
      </c>
      <c r="P756" s="714" t="e">
        <f>INTERCEPT(M750:M754, C750:C754)</f>
        <v>#DIV/0!</v>
      </c>
      <c r="Q756" s="714"/>
    </row>
    <row r="757" spans="1:17" s="1" customFormat="1">
      <c r="A757" s="699"/>
      <c r="B757" s="699"/>
      <c r="C757" s="699"/>
      <c r="D757" s="699"/>
      <c r="E757" s="699"/>
      <c r="F757" s="699"/>
      <c r="G757" s="699"/>
      <c r="H757" s="699"/>
      <c r="I757" s="699"/>
      <c r="J757" s="699"/>
      <c r="K757" s="699"/>
      <c r="L757" s="699"/>
      <c r="M757" s="699"/>
      <c r="N757" s="699"/>
      <c r="O757" s="699"/>
      <c r="P757" s="699"/>
      <c r="Q757" s="699"/>
    </row>
    <row r="758" spans="1:17" s="1" customFormat="1">
      <c r="A758" s="699"/>
      <c r="B758" s="699"/>
      <c r="C758" s="699"/>
      <c r="D758" s="699"/>
      <c r="E758" s="699"/>
      <c r="F758" s="699"/>
      <c r="G758" s="699"/>
      <c r="H758" s="699"/>
      <c r="I758" s="699"/>
      <c r="J758" s="699"/>
      <c r="K758" s="699"/>
      <c r="L758" s="699"/>
      <c r="M758" s="699"/>
      <c r="N758" s="699"/>
      <c r="O758" s="699"/>
      <c r="P758" s="699"/>
      <c r="Q758" s="699"/>
    </row>
    <row r="759" spans="1:17" s="1" customFormat="1">
      <c r="A759" s="699"/>
      <c r="B759" s="699"/>
      <c r="C759" s="699"/>
      <c r="D759" s="699"/>
      <c r="E759" s="699"/>
      <c r="F759" s="699"/>
      <c r="G759" s="699"/>
      <c r="H759" s="699"/>
      <c r="I759" s="699"/>
      <c r="J759" s="699"/>
      <c r="K759" s="699"/>
      <c r="L759" s="699"/>
      <c r="M759" s="699"/>
      <c r="N759" s="699"/>
      <c r="O759" s="699"/>
      <c r="P759" s="699"/>
      <c r="Q759" s="699"/>
    </row>
    <row r="760" spans="1:17" s="1" customFormat="1" ht="24.75" customHeight="1">
      <c r="A760" s="699"/>
      <c r="B760" s="699"/>
      <c r="C760" s="699"/>
      <c r="D760" s="699"/>
      <c r="E760" s="699"/>
      <c r="F760" s="699"/>
      <c r="G760" s="699"/>
      <c r="H760" s="699"/>
      <c r="I760" s="699"/>
      <c r="J760" s="699"/>
      <c r="K760" s="699"/>
      <c r="L760" s="699"/>
      <c r="M760" s="699"/>
      <c r="N760" s="699"/>
      <c r="O760" s="699"/>
      <c r="P760" s="699"/>
      <c r="Q760" s="699"/>
    </row>
    <row r="761" spans="1:17" s="1" customFormat="1" ht="30.75" customHeight="1">
      <c r="A761" s="699"/>
      <c r="B761" s="699"/>
      <c r="C761" s="699"/>
      <c r="D761" s="699"/>
      <c r="E761" s="699"/>
      <c r="F761" s="699"/>
      <c r="G761" s="699"/>
      <c r="H761" s="699"/>
      <c r="I761" s="699"/>
      <c r="J761" s="699"/>
      <c r="K761" s="699"/>
      <c r="L761" s="699"/>
      <c r="M761" s="699"/>
      <c r="N761" s="699"/>
      <c r="O761" s="699"/>
      <c r="P761" s="699"/>
      <c r="Q761" s="699"/>
    </row>
    <row r="762" spans="1:17" s="1" customFormat="1" ht="60.75" customHeight="1">
      <c r="A762" s="699"/>
      <c r="B762" s="699"/>
      <c r="C762" s="699"/>
      <c r="D762" s="699"/>
      <c r="E762" s="699"/>
      <c r="F762" s="699"/>
      <c r="G762" s="699"/>
      <c r="H762" s="699"/>
      <c r="I762" s="699"/>
      <c r="J762" s="699"/>
      <c r="K762" s="699"/>
      <c r="L762" s="699"/>
      <c r="M762" s="699"/>
      <c r="N762" s="699"/>
      <c r="O762" s="699"/>
      <c r="P762" s="699"/>
      <c r="Q762" s="699"/>
    </row>
    <row r="763" spans="1:17" s="1" customFormat="1" ht="35.25" customHeight="1">
      <c r="A763" s="699"/>
      <c r="B763" s="699"/>
      <c r="C763" s="699"/>
      <c r="D763" s="699"/>
      <c r="E763" s="699"/>
      <c r="F763" s="699"/>
      <c r="G763" s="699"/>
      <c r="H763" s="699"/>
      <c r="I763" s="699"/>
      <c r="J763" s="699"/>
      <c r="K763" s="699"/>
      <c r="L763" s="699"/>
      <c r="M763" s="699"/>
      <c r="N763" s="699"/>
      <c r="O763" s="699"/>
      <c r="P763" s="699"/>
      <c r="Q763" s="699"/>
    </row>
    <row r="764" spans="1:17" s="1" customFormat="1" ht="89.25" customHeight="1">
      <c r="A764" s="699"/>
      <c r="B764" s="699"/>
      <c r="C764" s="699"/>
      <c r="D764" s="699"/>
      <c r="E764" s="699"/>
      <c r="F764" s="699"/>
      <c r="G764" s="699"/>
      <c r="H764" s="699"/>
      <c r="I764" s="699"/>
      <c r="J764" s="699"/>
      <c r="K764" s="699"/>
      <c r="L764" s="699"/>
      <c r="M764" s="699"/>
      <c r="N764" s="699"/>
      <c r="O764" s="699"/>
      <c r="P764" s="699"/>
      <c r="Q764" s="699"/>
    </row>
    <row r="765" spans="1:17" s="1" customFormat="1" ht="23.25" customHeight="1">
      <c r="A765" s="699"/>
      <c r="B765" s="699"/>
      <c r="C765" s="699"/>
      <c r="D765" s="699"/>
      <c r="E765" s="699"/>
      <c r="F765" s="699"/>
      <c r="G765" s="699"/>
      <c r="H765" s="699"/>
      <c r="I765" s="699"/>
      <c r="J765" s="699"/>
      <c r="K765" s="699"/>
      <c r="L765" s="699"/>
      <c r="M765" s="699"/>
      <c r="N765" s="699"/>
      <c r="O765" s="699"/>
      <c r="P765" s="699"/>
      <c r="Q765" s="699"/>
    </row>
    <row r="766" spans="1:17" s="1" customFormat="1" ht="13.5" customHeight="1">
      <c r="A766" s="52" t="s">
        <v>44</v>
      </c>
      <c r="B766" s="699" t="e">
        <f>IF(AND(MAX(O750:O754) &lt;= 3%, H756 &gt;= 0.995), "Pass", "Fail")</f>
        <v>#DIV/0!</v>
      </c>
      <c r="C766" s="699"/>
      <c r="D766" s="699"/>
      <c r="E766" s="699"/>
      <c r="F766" s="699"/>
      <c r="G766" s="699"/>
      <c r="H766" s="699"/>
      <c r="I766" s="699"/>
      <c r="J766" s="699"/>
      <c r="K766" s="699"/>
      <c r="L766" s="699"/>
      <c r="M766" s="699"/>
      <c r="N766" s="699"/>
      <c r="O766" s="699"/>
      <c r="P766" s="699"/>
      <c r="Q766" s="699"/>
    </row>
    <row r="767" spans="1:17" s="1" customFormat="1" ht="14.5">
      <c r="A767" s="714" t="s">
        <v>210</v>
      </c>
      <c r="B767" s="714"/>
      <c r="C767" s="714"/>
      <c r="D767" s="714"/>
      <c r="E767" s="714"/>
      <c r="F767" s="714"/>
      <c r="G767" s="714"/>
      <c r="H767" s="714"/>
      <c r="I767" s="714"/>
      <c r="J767" s="714"/>
      <c r="K767" s="714"/>
      <c r="L767" s="714"/>
      <c r="M767" s="714"/>
      <c r="N767" s="714"/>
      <c r="O767" s="714"/>
      <c r="P767" s="714"/>
      <c r="Q767" s="714"/>
    </row>
    <row r="768" spans="1:17" s="1" customFormat="1">
      <c r="A768" s="709" t="s">
        <v>167</v>
      </c>
      <c r="B768" s="709"/>
      <c r="C768" s="719" t="s">
        <v>192</v>
      </c>
      <c r="D768" s="719"/>
      <c r="E768" s="719" t="s">
        <v>267</v>
      </c>
      <c r="F768" s="719"/>
      <c r="G768" s="719"/>
      <c r="H768" s="719"/>
      <c r="I768" s="719"/>
      <c r="J768" s="719"/>
      <c r="K768" s="719"/>
      <c r="L768" s="719"/>
      <c r="M768" s="719" t="s">
        <v>168</v>
      </c>
      <c r="N768" s="719"/>
      <c r="O768" s="719" t="s">
        <v>218</v>
      </c>
      <c r="P768" s="719"/>
      <c r="Q768" s="719"/>
    </row>
    <row r="769" spans="1:17" s="1" customFormat="1">
      <c r="A769" s="709"/>
      <c r="B769" s="709"/>
      <c r="C769" s="719"/>
      <c r="D769" s="719"/>
      <c r="E769" s="719">
        <v>1</v>
      </c>
      <c r="F769" s="719"/>
      <c r="G769" s="719"/>
      <c r="H769" s="719">
        <v>2</v>
      </c>
      <c r="I769" s="719"/>
      <c r="J769" s="719"/>
      <c r="K769" s="719">
        <v>3</v>
      </c>
      <c r="L769" s="719"/>
      <c r="M769" s="719"/>
      <c r="N769" s="719"/>
      <c r="O769" s="719"/>
      <c r="P769" s="719"/>
      <c r="Q769" s="719"/>
    </row>
    <row r="770" spans="1:17" s="1" customFormat="1" ht="14.5">
      <c r="A770" s="709">
        <v>1</v>
      </c>
      <c r="B770" s="709"/>
      <c r="C770" s="710">
        <v>80</v>
      </c>
      <c r="D770" s="709"/>
      <c r="E770" s="711"/>
      <c r="F770" s="712"/>
      <c r="G770" s="713"/>
      <c r="H770" s="711"/>
      <c r="I770" s="712"/>
      <c r="J770" s="713"/>
      <c r="K770" s="711"/>
      <c r="L770" s="713"/>
      <c r="M770" s="714" t="e">
        <f>AVERAGE(E770:K770)</f>
        <v>#DIV/0!</v>
      </c>
      <c r="N770" s="714"/>
      <c r="O770" s="715" t="e">
        <f>ABS((M770 - (C770*$M$658+$P$658))/(C770*$M$658+$P$658))</f>
        <v>#DIV/0!</v>
      </c>
      <c r="P770" s="715"/>
      <c r="Q770" s="715"/>
    </row>
    <row r="771" spans="1:17" s="1" customFormat="1" ht="14.5">
      <c r="A771" s="709">
        <v>2</v>
      </c>
      <c r="B771" s="709"/>
      <c r="C771" s="710">
        <v>100</v>
      </c>
      <c r="D771" s="709"/>
      <c r="E771" s="711"/>
      <c r="F771" s="712"/>
      <c r="G771" s="713"/>
      <c r="H771" s="711"/>
      <c r="I771" s="712"/>
      <c r="J771" s="713"/>
      <c r="K771" s="711"/>
      <c r="L771" s="713"/>
      <c r="M771" s="714" t="e">
        <f t="shared" ref="M771:M773" si="87">AVERAGE(E771:K771)</f>
        <v>#DIV/0!</v>
      </c>
      <c r="N771" s="714"/>
      <c r="O771" s="715" t="e">
        <f>ABS((M771 - (C771*$M$658+$P$658))/(C771*$M$658+$P$658))</f>
        <v>#DIV/0!</v>
      </c>
      <c r="P771" s="715"/>
      <c r="Q771" s="715"/>
    </row>
    <row r="772" spans="1:17" s="1" customFormat="1" ht="14.5">
      <c r="A772" s="709">
        <v>3</v>
      </c>
      <c r="B772" s="709"/>
      <c r="C772" s="710">
        <v>120</v>
      </c>
      <c r="D772" s="709"/>
      <c r="E772" s="711"/>
      <c r="F772" s="712"/>
      <c r="G772" s="713"/>
      <c r="H772" s="711"/>
      <c r="I772" s="712"/>
      <c r="J772" s="713"/>
      <c r="K772" s="711"/>
      <c r="L772" s="713"/>
      <c r="M772" s="714" t="e">
        <f t="shared" si="87"/>
        <v>#DIV/0!</v>
      </c>
      <c r="N772" s="714"/>
      <c r="O772" s="715" t="e">
        <f>ABS((M772 - (C772*$M$658+$P$658))/(C772*$M$658+$P$658))</f>
        <v>#DIV/0!</v>
      </c>
      <c r="P772" s="715"/>
      <c r="Q772" s="715"/>
    </row>
    <row r="773" spans="1:17" s="1" customFormat="1" ht="14.5">
      <c r="A773" s="709">
        <v>4</v>
      </c>
      <c r="B773" s="709"/>
      <c r="C773" s="710">
        <v>140</v>
      </c>
      <c r="D773" s="709"/>
      <c r="E773" s="711"/>
      <c r="F773" s="712"/>
      <c r="G773" s="713"/>
      <c r="H773" s="711"/>
      <c r="I773" s="712"/>
      <c r="J773" s="713"/>
      <c r="K773" s="711"/>
      <c r="L773" s="713"/>
      <c r="M773" s="714" t="e">
        <f t="shared" si="87"/>
        <v>#DIV/0!</v>
      </c>
      <c r="N773" s="714"/>
      <c r="O773" s="715" t="e">
        <f>ABS((M773 - (C773*$M$658+$P$658))/(C773*$M$658+$P$658))</f>
        <v>#DIV/0!</v>
      </c>
      <c r="P773" s="715"/>
      <c r="Q773" s="715"/>
    </row>
    <row r="774" spans="1:17" s="1" customFormat="1" ht="14.5">
      <c r="A774" s="709">
        <v>5</v>
      </c>
      <c r="B774" s="709"/>
      <c r="C774" s="710">
        <v>160</v>
      </c>
      <c r="D774" s="709"/>
      <c r="E774" s="711"/>
      <c r="F774" s="712"/>
      <c r="G774" s="713"/>
      <c r="H774" s="711"/>
      <c r="I774" s="712"/>
      <c r="J774" s="713"/>
      <c r="K774" s="711"/>
      <c r="L774" s="713"/>
      <c r="M774" s="714" t="e">
        <f>AVERAGE(E774:K774)</f>
        <v>#DIV/0!</v>
      </c>
      <c r="N774" s="714"/>
      <c r="O774" s="715" t="e">
        <f>ABS((M774 - (C774*$M$658+$P$658))/(C774*$M$658+$P$658))</f>
        <v>#DIV/0!</v>
      </c>
      <c r="P774" s="715"/>
      <c r="Q774" s="715"/>
    </row>
    <row r="775" spans="1:17" s="1" customFormat="1">
      <c r="A775" s="699" t="e">
        <f>"统计：R²="&amp;C776&amp;"，y="&amp;M776&amp;"x + "&amp;P776&amp;""</f>
        <v>#DIV/0!</v>
      </c>
      <c r="B775" s="699"/>
      <c r="C775" s="699"/>
      <c r="D775" s="699"/>
      <c r="E775" s="699"/>
      <c r="F775" s="699"/>
      <c r="G775" s="699"/>
      <c r="H775" s="699"/>
      <c r="I775" s="699"/>
      <c r="J775" s="699"/>
      <c r="K775" s="699"/>
      <c r="L775" s="699"/>
      <c r="M775" s="699"/>
      <c r="N775" s="699"/>
      <c r="O775" s="699"/>
      <c r="P775" s="699"/>
      <c r="Q775" s="699"/>
    </row>
    <row r="776" spans="1:17" s="1" customFormat="1" ht="14.5">
      <c r="A776" s="716" t="s">
        <v>172</v>
      </c>
      <c r="B776" s="717"/>
      <c r="C776" s="716" t="e">
        <f>POWER(H776, 2)</f>
        <v>#DIV/0!</v>
      </c>
      <c r="D776" s="717"/>
      <c r="E776" s="716" t="s">
        <v>171</v>
      </c>
      <c r="F776" s="718"/>
      <c r="G776" s="717"/>
      <c r="H776" s="716" t="e">
        <f>CORREL(M770:M774,(C770:C774)*$M$658+$P$658)</f>
        <v>#DIV/0!</v>
      </c>
      <c r="I776" s="718"/>
      <c r="J776" s="717"/>
      <c r="K776" s="716" t="s">
        <v>170</v>
      </c>
      <c r="L776" s="717"/>
      <c r="M776" s="716" t="e">
        <f>SLOPE(M770:M774, C770:C774)</f>
        <v>#DIV/0!</v>
      </c>
      <c r="N776" s="717"/>
      <c r="O776" s="15" t="s">
        <v>169</v>
      </c>
      <c r="P776" s="714" t="e">
        <f>INTERCEPT(M770:M774, C770:C774)</f>
        <v>#DIV/0!</v>
      </c>
      <c r="Q776" s="714"/>
    </row>
    <row r="777" spans="1:17" s="1" customFormat="1">
      <c r="A777" s="699"/>
      <c r="B777" s="699"/>
      <c r="C777" s="699"/>
      <c r="D777" s="699"/>
      <c r="E777" s="699"/>
      <c r="F777" s="699"/>
      <c r="G777" s="699"/>
      <c r="H777" s="699"/>
      <c r="I777" s="699"/>
      <c r="J777" s="699"/>
      <c r="K777" s="699"/>
      <c r="L777" s="699"/>
      <c r="M777" s="699"/>
      <c r="N777" s="699"/>
      <c r="O777" s="699"/>
      <c r="P777" s="699"/>
      <c r="Q777" s="699"/>
    </row>
    <row r="778" spans="1:17" s="1" customFormat="1">
      <c r="A778" s="699"/>
      <c r="B778" s="699"/>
      <c r="C778" s="699"/>
      <c r="D778" s="699"/>
      <c r="E778" s="699"/>
      <c r="F778" s="699"/>
      <c r="G778" s="699"/>
      <c r="H778" s="699"/>
      <c r="I778" s="699"/>
      <c r="J778" s="699"/>
      <c r="K778" s="699"/>
      <c r="L778" s="699"/>
      <c r="M778" s="699"/>
      <c r="N778" s="699"/>
      <c r="O778" s="699"/>
      <c r="P778" s="699"/>
      <c r="Q778" s="699"/>
    </row>
    <row r="779" spans="1:17" s="1" customFormat="1">
      <c r="A779" s="699"/>
      <c r="B779" s="699"/>
      <c r="C779" s="699"/>
      <c r="D779" s="699"/>
      <c r="E779" s="699"/>
      <c r="F779" s="699"/>
      <c r="G779" s="699"/>
      <c r="H779" s="699"/>
      <c r="I779" s="699"/>
      <c r="J779" s="699"/>
      <c r="K779" s="699"/>
      <c r="L779" s="699"/>
      <c r="M779" s="699"/>
      <c r="N779" s="699"/>
      <c r="O779" s="699"/>
      <c r="P779" s="699"/>
      <c r="Q779" s="699"/>
    </row>
    <row r="780" spans="1:17" s="1" customFormat="1" ht="36" customHeight="1">
      <c r="A780" s="699"/>
      <c r="B780" s="699"/>
      <c r="C780" s="699"/>
      <c r="D780" s="699"/>
      <c r="E780" s="699"/>
      <c r="F780" s="699"/>
      <c r="G780" s="699"/>
      <c r="H780" s="699"/>
      <c r="I780" s="699"/>
      <c r="J780" s="699"/>
      <c r="K780" s="699"/>
      <c r="L780" s="699"/>
      <c r="M780" s="699"/>
      <c r="N780" s="699"/>
      <c r="O780" s="699"/>
      <c r="P780" s="699"/>
      <c r="Q780" s="699"/>
    </row>
    <row r="781" spans="1:17" s="1" customFormat="1" ht="45" customHeight="1">
      <c r="A781" s="699"/>
      <c r="B781" s="699"/>
      <c r="C781" s="699"/>
      <c r="D781" s="699"/>
      <c r="E781" s="699"/>
      <c r="F781" s="699"/>
      <c r="G781" s="699"/>
      <c r="H781" s="699"/>
      <c r="I781" s="699"/>
      <c r="J781" s="699"/>
      <c r="K781" s="699"/>
      <c r="L781" s="699"/>
      <c r="M781" s="699"/>
      <c r="N781" s="699"/>
      <c r="O781" s="699"/>
      <c r="P781" s="699"/>
      <c r="Q781" s="699"/>
    </row>
    <row r="782" spans="1:17" s="1" customFormat="1" ht="45.75" customHeight="1">
      <c r="A782" s="699"/>
      <c r="B782" s="699"/>
      <c r="C782" s="699"/>
      <c r="D782" s="699"/>
      <c r="E782" s="699"/>
      <c r="F782" s="699"/>
      <c r="G782" s="699"/>
      <c r="H782" s="699"/>
      <c r="I782" s="699"/>
      <c r="J782" s="699"/>
      <c r="K782" s="699"/>
      <c r="L782" s="699"/>
      <c r="M782" s="699"/>
      <c r="N782" s="699"/>
      <c r="O782" s="699"/>
      <c r="P782" s="699"/>
      <c r="Q782" s="699"/>
    </row>
    <row r="783" spans="1:17" s="1" customFormat="1" ht="49.5" customHeight="1">
      <c r="A783" s="699"/>
      <c r="B783" s="699"/>
      <c r="C783" s="699"/>
      <c r="D783" s="699"/>
      <c r="E783" s="699"/>
      <c r="F783" s="699"/>
      <c r="G783" s="699"/>
      <c r="H783" s="699"/>
      <c r="I783" s="699"/>
      <c r="J783" s="699"/>
      <c r="K783" s="699"/>
      <c r="L783" s="699"/>
      <c r="M783" s="699"/>
      <c r="N783" s="699"/>
      <c r="O783" s="699"/>
      <c r="P783" s="699"/>
      <c r="Q783" s="699"/>
    </row>
    <row r="784" spans="1:17" s="1" customFormat="1" ht="79.5" customHeight="1">
      <c r="A784" s="699"/>
      <c r="B784" s="699"/>
      <c r="C784" s="699"/>
      <c r="D784" s="699"/>
      <c r="E784" s="699"/>
      <c r="F784" s="699"/>
      <c r="G784" s="699"/>
      <c r="H784" s="699"/>
      <c r="I784" s="699"/>
      <c r="J784" s="699"/>
      <c r="K784" s="699"/>
      <c r="L784" s="699"/>
      <c r="M784" s="699"/>
      <c r="N784" s="699"/>
      <c r="O784" s="699"/>
      <c r="P784" s="699"/>
      <c r="Q784" s="699"/>
    </row>
    <row r="785" spans="1:17" s="1" customFormat="1" ht="24" customHeight="1">
      <c r="A785" s="699"/>
      <c r="B785" s="699"/>
      <c r="C785" s="699"/>
      <c r="D785" s="699"/>
      <c r="E785" s="699"/>
      <c r="F785" s="699"/>
      <c r="G785" s="699"/>
      <c r="H785" s="699"/>
      <c r="I785" s="699"/>
      <c r="J785" s="699"/>
      <c r="K785" s="699"/>
      <c r="L785" s="699"/>
      <c r="M785" s="699"/>
      <c r="N785" s="699"/>
      <c r="O785" s="699"/>
      <c r="P785" s="699"/>
      <c r="Q785" s="699"/>
    </row>
    <row r="786" spans="1:17" s="1" customFormat="1">
      <c r="A786" s="52" t="s">
        <v>44</v>
      </c>
      <c r="B786" s="699" t="e">
        <f>IF(AND(MAX(O770:O774) &lt;= 3%, H776 &gt;= 0.995), "Pass", "Fail")</f>
        <v>#DIV/0!</v>
      </c>
      <c r="C786" s="699"/>
      <c r="D786" s="699"/>
      <c r="E786" s="699"/>
      <c r="F786" s="699"/>
      <c r="G786" s="699"/>
      <c r="H786" s="699"/>
      <c r="I786" s="699"/>
      <c r="J786" s="699"/>
      <c r="K786" s="699"/>
      <c r="L786" s="699"/>
      <c r="M786" s="699"/>
      <c r="N786" s="699"/>
      <c r="O786" s="699"/>
      <c r="P786" s="699"/>
      <c r="Q786" s="699"/>
    </row>
    <row r="787" spans="1:17" s="1" customFormat="1">
      <c r="A787" s="701" t="s">
        <v>355</v>
      </c>
      <c r="B787" s="702"/>
      <c r="C787" s="702"/>
      <c r="D787" s="702"/>
      <c r="E787" s="702"/>
      <c r="F787" s="702"/>
      <c r="G787" s="702"/>
      <c r="H787" s="702"/>
      <c r="I787" s="702"/>
      <c r="J787" s="702"/>
      <c r="K787" s="702"/>
      <c r="L787" s="702"/>
      <c r="M787" s="702"/>
      <c r="N787" s="702"/>
      <c r="O787" s="702"/>
      <c r="P787" s="702"/>
      <c r="Q787" s="703"/>
    </row>
    <row r="788" spans="1:17" s="1" customFormat="1">
      <c r="A788" s="704" t="s">
        <v>174</v>
      </c>
      <c r="B788" s="704"/>
      <c r="C788" s="704"/>
      <c r="D788" s="704"/>
      <c r="E788" s="704"/>
      <c r="F788" s="704"/>
      <c r="G788" s="704"/>
      <c r="H788" s="704"/>
      <c r="I788" s="704"/>
      <c r="J788" s="704"/>
      <c r="K788" s="704"/>
      <c r="L788" s="704"/>
      <c r="M788" s="704"/>
      <c r="N788" s="704"/>
      <c r="O788" s="704"/>
      <c r="P788" s="704"/>
      <c r="Q788" s="704"/>
    </row>
    <row r="789" spans="1:17" s="1" customFormat="1">
      <c r="A789" s="687" t="s">
        <v>150</v>
      </c>
      <c r="B789" s="688"/>
      <c r="C789" s="687" t="s">
        <v>207</v>
      </c>
      <c r="D789" s="705"/>
      <c r="E789" s="705"/>
      <c r="F789" s="705"/>
      <c r="G789" s="688"/>
      <c r="H789" s="687" t="s">
        <v>152</v>
      </c>
      <c r="I789" s="705"/>
      <c r="J789" s="705"/>
      <c r="K789" s="705"/>
      <c r="L789" s="688"/>
      <c r="M789" s="687" t="s">
        <v>208</v>
      </c>
      <c r="N789" s="705"/>
      <c r="O789" s="705"/>
      <c r="P789" s="705"/>
      <c r="Q789" s="688"/>
    </row>
    <row r="790" spans="1:17" s="1" customFormat="1">
      <c r="A790" s="687" t="s">
        <v>175</v>
      </c>
      <c r="B790" s="688"/>
      <c r="C790" s="706"/>
      <c r="D790" s="707"/>
      <c r="E790" s="707"/>
      <c r="F790" s="707"/>
      <c r="G790" s="708"/>
      <c r="H790" s="706"/>
      <c r="I790" s="707"/>
      <c r="J790" s="707"/>
      <c r="K790" s="707"/>
      <c r="L790" s="708"/>
      <c r="M790" s="706"/>
      <c r="N790" s="707"/>
      <c r="O790" s="707"/>
      <c r="P790" s="707"/>
      <c r="Q790" s="708"/>
    </row>
    <row r="791" spans="1:17" s="1" customFormat="1">
      <c r="A791" s="687" t="s">
        <v>176</v>
      </c>
      <c r="B791" s="688"/>
      <c r="C791" s="699"/>
      <c r="D791" s="699"/>
      <c r="E791" s="699"/>
      <c r="F791" s="699"/>
      <c r="G791" s="699"/>
      <c r="H791" s="699"/>
      <c r="I791" s="699"/>
      <c r="J791" s="699"/>
      <c r="K791" s="699"/>
      <c r="L791" s="699"/>
      <c r="M791" s="699"/>
      <c r="N791" s="699"/>
      <c r="O791" s="699"/>
      <c r="P791" s="699"/>
      <c r="Q791" s="699"/>
    </row>
    <row r="792" spans="1:17" s="1" customFormat="1">
      <c r="A792" s="687" t="s">
        <v>177</v>
      </c>
      <c r="B792" s="688"/>
      <c r="C792" s="699"/>
      <c r="D792" s="699"/>
      <c r="E792" s="699"/>
      <c r="F792" s="699"/>
      <c r="G792" s="699"/>
      <c r="H792" s="699"/>
      <c r="I792" s="699"/>
      <c r="J792" s="699"/>
      <c r="K792" s="699"/>
      <c r="L792" s="699"/>
      <c r="M792" s="699"/>
      <c r="N792" s="699"/>
      <c r="O792" s="699"/>
      <c r="P792" s="699"/>
      <c r="Q792" s="699"/>
    </row>
    <row r="793" spans="1:17" s="1" customFormat="1">
      <c r="A793" s="687" t="s">
        <v>178</v>
      </c>
      <c r="B793" s="688"/>
      <c r="C793" s="699">
        <f>MAX(C790:C792)</f>
        <v>0</v>
      </c>
      <c r="D793" s="699"/>
      <c r="E793" s="699"/>
      <c r="F793" s="699"/>
      <c r="G793" s="699"/>
      <c r="H793" s="699">
        <f t="shared" ref="H793" si="88">MAX(H790:H792)</f>
        <v>0</v>
      </c>
      <c r="I793" s="699"/>
      <c r="J793" s="699"/>
      <c r="K793" s="699"/>
      <c r="L793" s="699"/>
      <c r="M793" s="699">
        <f t="shared" ref="M793" si="89">MAX(M790:M792)</f>
        <v>0</v>
      </c>
      <c r="N793" s="699"/>
      <c r="O793" s="699"/>
      <c r="P793" s="699"/>
      <c r="Q793" s="699"/>
    </row>
    <row r="794" spans="1:17" s="1" customFormat="1">
      <c r="A794" s="687" t="s">
        <v>179</v>
      </c>
      <c r="B794" s="688"/>
      <c r="C794" s="699">
        <f>MIN(C790:C792)</f>
        <v>0</v>
      </c>
      <c r="D794" s="699"/>
      <c r="E794" s="699"/>
      <c r="F794" s="699"/>
      <c r="G794" s="699"/>
      <c r="H794" s="699">
        <f t="shared" ref="H794" si="90">MIN(H790:H792)</f>
        <v>0</v>
      </c>
      <c r="I794" s="699"/>
      <c r="J794" s="699"/>
      <c r="K794" s="699"/>
      <c r="L794" s="699"/>
      <c r="M794" s="699">
        <f t="shared" ref="M794" si="91">MIN(M790:M792)</f>
        <v>0</v>
      </c>
      <c r="N794" s="699"/>
      <c r="O794" s="699"/>
      <c r="P794" s="699"/>
      <c r="Q794" s="699"/>
    </row>
    <row r="795" spans="1:17" s="1" customFormat="1">
      <c r="A795" s="687" t="s">
        <v>151</v>
      </c>
      <c r="B795" s="688"/>
      <c r="C795" s="699">
        <v>140</v>
      </c>
      <c r="D795" s="699"/>
      <c r="E795" s="699"/>
      <c r="F795" s="699"/>
      <c r="G795" s="699"/>
      <c r="H795" s="699">
        <v>4.5</v>
      </c>
      <c r="I795" s="699"/>
      <c r="J795" s="699"/>
      <c r="K795" s="699"/>
      <c r="L795" s="699"/>
      <c r="M795" s="699">
        <v>120</v>
      </c>
      <c r="N795" s="699"/>
      <c r="O795" s="699"/>
      <c r="P795" s="699"/>
      <c r="Q795" s="699"/>
    </row>
    <row r="796" spans="1:17" s="1" customFormat="1">
      <c r="A796" s="687" t="s">
        <v>180</v>
      </c>
      <c r="B796" s="688"/>
      <c r="C796" s="700">
        <f>(C793-C794)/C795</f>
        <v>0</v>
      </c>
      <c r="D796" s="700"/>
      <c r="E796" s="700"/>
      <c r="F796" s="700"/>
      <c r="G796" s="700"/>
      <c r="H796" s="700">
        <f t="shared" ref="H796" si="92">(H793-H794)/H795</f>
        <v>0</v>
      </c>
      <c r="I796" s="700"/>
      <c r="J796" s="700"/>
      <c r="K796" s="700"/>
      <c r="L796" s="700"/>
      <c r="M796" s="700">
        <f t="shared" ref="M796" si="93">(M793-M794)/M795</f>
        <v>0</v>
      </c>
      <c r="N796" s="700"/>
      <c r="O796" s="700"/>
      <c r="P796" s="700"/>
      <c r="Q796" s="700"/>
    </row>
    <row r="797" spans="1:17" s="1" customFormat="1">
      <c r="A797" s="687" t="s">
        <v>159</v>
      </c>
      <c r="B797" s="688"/>
      <c r="C797" s="699" t="s">
        <v>181</v>
      </c>
      <c r="D797" s="699"/>
      <c r="E797" s="699"/>
      <c r="F797" s="699"/>
      <c r="G797" s="699"/>
      <c r="H797" s="699" t="s">
        <v>181</v>
      </c>
      <c r="I797" s="699"/>
      <c r="J797" s="699"/>
      <c r="K797" s="699"/>
      <c r="L797" s="699"/>
      <c r="M797" s="699" t="s">
        <v>181</v>
      </c>
      <c r="N797" s="699"/>
      <c r="O797" s="699"/>
      <c r="P797" s="699"/>
      <c r="Q797" s="699"/>
    </row>
    <row r="798" spans="1:17" s="1" customFormat="1">
      <c r="A798" s="687" t="s">
        <v>44</v>
      </c>
      <c r="B798" s="688"/>
      <c r="C798" s="689" t="str">
        <f>IF(C796 &lt;= 2%, "Pass", "Fail")</f>
        <v>Pass</v>
      </c>
      <c r="D798" s="690"/>
      <c r="E798" s="690"/>
      <c r="F798" s="690"/>
      <c r="G798" s="690"/>
      <c r="H798" s="689" t="str">
        <f t="shared" ref="H798" si="94">IF(H796 &lt;= 2%, "Pass", "Fail")</f>
        <v>Pass</v>
      </c>
      <c r="I798" s="689"/>
      <c r="J798" s="690"/>
      <c r="K798" s="690"/>
      <c r="L798" s="690"/>
      <c r="M798" s="689" t="str">
        <f t="shared" ref="M798" si="95">IF(M796 &lt;= 2%, "Pass", "Fail")</f>
        <v>Pass</v>
      </c>
      <c r="N798" s="690"/>
      <c r="O798" s="690"/>
      <c r="P798" s="690"/>
      <c r="Q798" s="690"/>
    </row>
    <row r="799" spans="1:17" s="1" customFormat="1">
      <c r="A799" s="691" t="s">
        <v>356</v>
      </c>
      <c r="B799" s="692"/>
      <c r="C799" s="692"/>
      <c r="D799" s="692"/>
      <c r="E799" s="692"/>
      <c r="F799" s="692"/>
      <c r="G799" s="692"/>
      <c r="H799" s="692"/>
      <c r="I799" s="692"/>
      <c r="J799" s="692"/>
      <c r="K799" s="692"/>
      <c r="L799" s="692"/>
      <c r="M799" s="692"/>
      <c r="N799" s="692"/>
      <c r="O799" s="692"/>
      <c r="P799" s="692"/>
      <c r="Q799" s="693"/>
    </row>
    <row r="800" spans="1:17" s="1" customFormat="1">
      <c r="A800" s="694" t="s">
        <v>149</v>
      </c>
      <c r="B800" s="694"/>
      <c r="C800" s="694" t="s">
        <v>2</v>
      </c>
      <c r="D800" s="694"/>
      <c r="E800" s="694"/>
      <c r="F800" s="695" t="s">
        <v>1</v>
      </c>
      <c r="G800" s="696"/>
      <c r="H800" s="697"/>
      <c r="I800" s="694" t="s">
        <v>3</v>
      </c>
      <c r="J800" s="694"/>
      <c r="K800" s="694"/>
      <c r="L800" s="25"/>
      <c r="M800" s="26"/>
      <c r="N800" s="26"/>
      <c r="O800" s="26"/>
      <c r="P800" s="26"/>
      <c r="Q800" s="27"/>
    </row>
    <row r="801" spans="1:17" s="1" customFormat="1" ht="19">
      <c r="A801" s="698" t="s">
        <v>190</v>
      </c>
      <c r="B801" s="698"/>
      <c r="C801" s="68" t="s">
        <v>183</v>
      </c>
      <c r="D801" s="68" t="s">
        <v>216</v>
      </c>
      <c r="E801" s="68" t="s">
        <v>183</v>
      </c>
      <c r="F801" s="68" t="s">
        <v>183</v>
      </c>
      <c r="G801" s="68" t="s">
        <v>184</v>
      </c>
      <c r="H801" s="68" t="s">
        <v>183</v>
      </c>
      <c r="I801" s="68" t="s">
        <v>183</v>
      </c>
      <c r="J801" s="68" t="s">
        <v>184</v>
      </c>
      <c r="K801" s="68" t="s">
        <v>183</v>
      </c>
      <c r="L801" s="31"/>
      <c r="M801" s="32"/>
      <c r="N801" s="32"/>
      <c r="O801" s="32"/>
      <c r="P801" s="32"/>
      <c r="Q801" s="33"/>
    </row>
    <row r="802" spans="1:17" s="1" customFormat="1">
      <c r="A802" s="670" t="s">
        <v>185</v>
      </c>
      <c r="B802" s="670"/>
      <c r="C802" s="67"/>
      <c r="D802" s="67"/>
      <c r="E802" s="67"/>
      <c r="F802" s="67"/>
      <c r="G802" s="67"/>
      <c r="H802" s="67"/>
      <c r="I802" s="67"/>
      <c r="J802" s="67"/>
      <c r="K802" s="67"/>
      <c r="L802" s="28"/>
      <c r="M802" s="29"/>
      <c r="N802" s="29"/>
      <c r="O802" s="29"/>
      <c r="P802" s="29"/>
      <c r="Q802" s="30"/>
    </row>
    <row r="803" spans="1:17" s="1" customFormat="1">
      <c r="A803" s="670" t="s">
        <v>186</v>
      </c>
      <c r="B803" s="670"/>
      <c r="C803" s="67"/>
      <c r="D803" s="67"/>
      <c r="E803" s="67"/>
      <c r="F803" s="67"/>
      <c r="G803" s="67"/>
      <c r="H803" s="67"/>
      <c r="I803" s="67"/>
      <c r="J803" s="67"/>
      <c r="K803" s="67"/>
      <c r="L803" s="28"/>
      <c r="M803" s="29"/>
      <c r="N803" s="29"/>
      <c r="O803" s="29"/>
      <c r="P803" s="29"/>
      <c r="Q803" s="30"/>
    </row>
    <row r="804" spans="1:17" s="1" customFormat="1">
      <c r="A804" s="670" t="s">
        <v>187</v>
      </c>
      <c r="B804" s="670"/>
      <c r="C804" s="67"/>
      <c r="D804" s="67"/>
      <c r="E804" s="67"/>
      <c r="F804" s="67"/>
      <c r="G804" s="67"/>
      <c r="H804" s="67"/>
      <c r="I804" s="67"/>
      <c r="J804" s="67"/>
      <c r="K804" s="67"/>
      <c r="L804" s="28"/>
      <c r="M804" s="29"/>
      <c r="N804" s="29"/>
      <c r="O804" s="29"/>
      <c r="P804" s="29"/>
      <c r="Q804" s="30"/>
    </row>
    <row r="805" spans="1:17" s="1" customFormat="1">
      <c r="A805" s="670" t="s">
        <v>188</v>
      </c>
      <c r="B805" s="670"/>
      <c r="C805" s="67"/>
      <c r="D805" s="67"/>
      <c r="E805" s="67"/>
      <c r="F805" s="67"/>
      <c r="G805" s="67"/>
      <c r="H805" s="67"/>
      <c r="I805" s="67"/>
      <c r="J805" s="67"/>
      <c r="K805" s="67"/>
      <c r="L805" s="28"/>
      <c r="M805" s="29"/>
      <c r="N805" s="29"/>
      <c r="O805" s="29"/>
      <c r="P805" s="29"/>
      <c r="Q805" s="30"/>
    </row>
    <row r="806" spans="1:17" s="1" customFormat="1">
      <c r="A806" s="654" t="s">
        <v>357</v>
      </c>
      <c r="B806" s="654"/>
      <c r="C806" s="655" t="e">
        <f>(SUM(D803:D805) / 3 - D802) / (SUM(D803:D805)/3 - SUM(C803:C805)/3)</f>
        <v>#DIV/0!</v>
      </c>
      <c r="D806" s="655"/>
      <c r="E806" s="655"/>
      <c r="F806" s="656" t="e">
        <f>(SUM(G803:G805) / 3 - G802) / (SUM(G803:G805)/3 - SUM(F803:F805)/3)</f>
        <v>#DIV/0!</v>
      </c>
      <c r="G806" s="657"/>
      <c r="H806" s="658"/>
      <c r="I806" s="655" t="e">
        <f>(SUM(J803:J805) / 3 - J802) / (SUM(J803:J805)/3 - SUM(I803:I805)/3)</f>
        <v>#DIV/0!</v>
      </c>
      <c r="J806" s="655"/>
      <c r="K806" s="655"/>
      <c r="L806" s="28"/>
      <c r="M806" s="29"/>
      <c r="N806" s="29"/>
      <c r="O806" s="29"/>
      <c r="P806" s="29"/>
      <c r="Q806" s="30"/>
    </row>
    <row r="807" spans="1:17" s="1" customFormat="1">
      <c r="A807" s="654" t="s">
        <v>358</v>
      </c>
      <c r="B807" s="654"/>
      <c r="C807" s="655" t="e">
        <f>(E802-SUM(E803:E805) / 3) / (SUM(D803:D805) / 3-SUM(E803:E805) / 3)</f>
        <v>#DIV/0!</v>
      </c>
      <c r="D807" s="655"/>
      <c r="E807" s="655"/>
      <c r="F807" s="656" t="e">
        <f>(H802-SUM(H803:H805) / 3) / (SUM(G803:G805) / 3-SUM(H803:H805) / 3)</f>
        <v>#DIV/0!</v>
      </c>
      <c r="G807" s="657"/>
      <c r="H807" s="658"/>
      <c r="I807" s="655" t="e">
        <f>(K802-SUM(K803:K805) / 3) / (SUM(J803:J805) / 3-SUM(K803:K805) / 3)</f>
        <v>#DIV/0!</v>
      </c>
      <c r="J807" s="655"/>
      <c r="K807" s="655"/>
      <c r="L807" s="28"/>
      <c r="M807" s="29"/>
      <c r="N807" s="29"/>
      <c r="O807" s="29"/>
      <c r="P807" s="29"/>
      <c r="Q807" s="30"/>
    </row>
    <row r="808" spans="1:17" s="1" customFormat="1">
      <c r="A808" s="659" t="s">
        <v>159</v>
      </c>
      <c r="B808" s="660"/>
      <c r="C808" s="663" t="s">
        <v>215</v>
      </c>
      <c r="D808" s="663"/>
      <c r="E808" s="663"/>
      <c r="F808" s="664" t="s">
        <v>189</v>
      </c>
      <c r="G808" s="665"/>
      <c r="H808" s="666"/>
      <c r="I808" s="663" t="s">
        <v>189</v>
      </c>
      <c r="J808" s="663"/>
      <c r="K808" s="663"/>
      <c r="L808" s="28"/>
      <c r="M808" s="29"/>
      <c r="N808" s="29"/>
      <c r="O808" s="29"/>
      <c r="P808" s="29"/>
      <c r="Q808" s="30"/>
    </row>
    <row r="809" spans="1:17" s="1" customFormat="1">
      <c r="A809" s="661"/>
      <c r="B809" s="662"/>
      <c r="C809" s="663"/>
      <c r="D809" s="663"/>
      <c r="E809" s="663"/>
      <c r="F809" s="667"/>
      <c r="G809" s="668"/>
      <c r="H809" s="669"/>
      <c r="I809" s="663"/>
      <c r="J809" s="663"/>
      <c r="K809" s="663"/>
      <c r="L809" s="28"/>
      <c r="M809" s="29"/>
      <c r="N809" s="29"/>
      <c r="O809" s="29"/>
      <c r="P809" s="29"/>
      <c r="Q809" s="30"/>
    </row>
    <row r="810" spans="1:17" s="1" customFormat="1">
      <c r="A810" s="670" t="s">
        <v>6</v>
      </c>
      <c r="B810" s="670"/>
      <c r="C810" s="671" t="e">
        <f>IF(AND(C806 &lt;= 1.5%, C807 &lt;= 1.5%), "Pass", "Fail")</f>
        <v>#DIV/0!</v>
      </c>
      <c r="D810" s="671"/>
      <c r="E810" s="671"/>
      <c r="F810" s="672" t="e">
        <f t="shared" ref="F810" si="96">IF(AND(F806 &lt;= 1.5%, F807 &lt;= 1.5%), "Pass", "Fail")</f>
        <v>#DIV/0!</v>
      </c>
      <c r="G810" s="673"/>
      <c r="H810" s="674"/>
      <c r="I810" s="671" t="e">
        <f t="shared" ref="I810" si="97">IF(AND(I806 &lt;= 1.5%, I807 &lt;= 1.5%), "Pass", "Fail")</f>
        <v>#DIV/0!</v>
      </c>
      <c r="J810" s="671"/>
      <c r="K810" s="671"/>
      <c r="L810" s="29"/>
      <c r="M810" s="29"/>
      <c r="N810" s="29"/>
      <c r="O810" s="29"/>
      <c r="P810" s="29"/>
      <c r="Q810" s="29"/>
    </row>
  </sheetData>
  <mergeCells count="2474">
    <mergeCell ref="A572:G572"/>
    <mergeCell ref="H572:Q572"/>
    <mergeCell ref="A590:G590"/>
    <mergeCell ref="H590:Q590"/>
    <mergeCell ref="A697:G697"/>
    <mergeCell ref="H697:Q697"/>
    <mergeCell ref="A709:G709"/>
    <mergeCell ref="H709:Q709"/>
    <mergeCell ref="J401:K401"/>
    <mergeCell ref="E338:G338"/>
    <mergeCell ref="A64:D64"/>
    <mergeCell ref="E64:J64"/>
    <mergeCell ref="K64:M64"/>
    <mergeCell ref="N64:Q64"/>
    <mergeCell ref="C425:E425"/>
    <mergeCell ref="F425:H425"/>
    <mergeCell ref="F399:H399"/>
    <mergeCell ref="I425:K425"/>
    <mergeCell ref="I399:K399"/>
    <mergeCell ref="P618:Q618"/>
    <mergeCell ref="P638:Q638"/>
    <mergeCell ref="J338:L338"/>
    <mergeCell ref="J339:L339"/>
    <mergeCell ref="J340:L340"/>
    <mergeCell ref="H337:I337"/>
    <mergeCell ref="H338:I338"/>
    <mergeCell ref="H339:I339"/>
    <mergeCell ref="H346:I346"/>
    <mergeCell ref="J346:L346"/>
    <mergeCell ref="H347:I347"/>
    <mergeCell ref="J347:L347"/>
    <mergeCell ref="M418:N418"/>
    <mergeCell ref="M419:N419"/>
    <mergeCell ref="M420:N420"/>
    <mergeCell ref="M400:N400"/>
    <mergeCell ref="C399:E399"/>
    <mergeCell ref="J345:L345"/>
    <mergeCell ref="M343:Q343"/>
    <mergeCell ref="O363:Q363"/>
    <mergeCell ref="O359:Q359"/>
    <mergeCell ref="O355:Q355"/>
    <mergeCell ref="J321:L321"/>
    <mergeCell ref="J322:L322"/>
    <mergeCell ref="J323:L323"/>
    <mergeCell ref="J324:L324"/>
    <mergeCell ref="J325:L325"/>
    <mergeCell ref="J326:L326"/>
    <mergeCell ref="J327:L327"/>
    <mergeCell ref="J328:L328"/>
    <mergeCell ref="J329:L329"/>
    <mergeCell ref="J330:L330"/>
    <mergeCell ref="J331:L331"/>
    <mergeCell ref="J332:L332"/>
    <mergeCell ref="J333:L333"/>
    <mergeCell ref="J334:L334"/>
    <mergeCell ref="J335:L335"/>
    <mergeCell ref="J336:L336"/>
    <mergeCell ref="J337:L337"/>
    <mergeCell ref="M402:N402"/>
    <mergeCell ref="J361:L361"/>
    <mergeCell ref="M412:N412"/>
    <mergeCell ref="M413:N413"/>
    <mergeCell ref="M414:N414"/>
    <mergeCell ref="M415:N415"/>
    <mergeCell ref="O351:Q351"/>
    <mergeCell ref="O324:Q324"/>
    <mergeCell ref="O325:Q325"/>
    <mergeCell ref="O326:Q326"/>
    <mergeCell ref="O327:Q327"/>
    <mergeCell ref="O328:Q328"/>
    <mergeCell ref="O329:Q329"/>
    <mergeCell ref="M335:N335"/>
    <mergeCell ref="M336:N336"/>
    <mergeCell ref="M337:N337"/>
    <mergeCell ref="M338:N338"/>
    <mergeCell ref="M339:N339"/>
    <mergeCell ref="M329:N329"/>
    <mergeCell ref="M330:N330"/>
    <mergeCell ref="M331:N331"/>
    <mergeCell ref="M332:N332"/>
    <mergeCell ref="O338:Q338"/>
    <mergeCell ref="M367:N367"/>
    <mergeCell ref="O367:Q367"/>
    <mergeCell ref="O347:Q347"/>
    <mergeCell ref="O332:Q332"/>
    <mergeCell ref="O333:Q333"/>
    <mergeCell ref="O334:Q334"/>
    <mergeCell ref="M403:N403"/>
    <mergeCell ref="M404:N404"/>
    <mergeCell ref="J348:L348"/>
    <mergeCell ref="J349:L349"/>
    <mergeCell ref="M405:N405"/>
    <mergeCell ref="M406:N406"/>
    <mergeCell ref="M401:N401"/>
    <mergeCell ref="J420:K420"/>
    <mergeCell ref="J424:K424"/>
    <mergeCell ref="M416:N416"/>
    <mergeCell ref="J421:K421"/>
    <mergeCell ref="L425:N425"/>
    <mergeCell ref="M421:N421"/>
    <mergeCell ref="M422:N422"/>
    <mergeCell ref="M423:N423"/>
    <mergeCell ref="M424:N424"/>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M417:N417"/>
    <mergeCell ref="M407:N407"/>
    <mergeCell ref="M408:N408"/>
    <mergeCell ref="M409:N409"/>
    <mergeCell ref="M410:N410"/>
    <mergeCell ref="M411:N411"/>
    <mergeCell ref="D417:E417"/>
    <mergeCell ref="D418:E418"/>
    <mergeCell ref="D419:E419"/>
    <mergeCell ref="D420:E420"/>
    <mergeCell ref="G418:H418"/>
    <mergeCell ref="G419:H419"/>
    <mergeCell ref="G420:H420"/>
    <mergeCell ref="G421:H421"/>
    <mergeCell ref="G422:H422"/>
    <mergeCell ref="G423:H423"/>
    <mergeCell ref="G424:H424"/>
    <mergeCell ref="J400:K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J422:K422"/>
    <mergeCell ref="J423:K423"/>
    <mergeCell ref="J419:K419"/>
    <mergeCell ref="A421:B421"/>
    <mergeCell ref="A422:B422"/>
    <mergeCell ref="A423:B423"/>
    <mergeCell ref="A424:B424"/>
    <mergeCell ref="A425:B425"/>
    <mergeCell ref="D400:E400"/>
    <mergeCell ref="C543:D543"/>
    <mergeCell ref="A464:Q464"/>
    <mergeCell ref="F684:H684"/>
    <mergeCell ref="F690:H690"/>
    <mergeCell ref="F691:H691"/>
    <mergeCell ref="F692:H693"/>
    <mergeCell ref="F694:H694"/>
    <mergeCell ref="A399:B400"/>
    <mergeCell ref="A401:B401"/>
    <mergeCell ref="A402:B402"/>
    <mergeCell ref="A403:B403"/>
    <mergeCell ref="A404:B404"/>
    <mergeCell ref="A405:B405"/>
    <mergeCell ref="A406:B406"/>
    <mergeCell ref="A407:B407"/>
    <mergeCell ref="A408:B408"/>
    <mergeCell ref="A409:B409"/>
    <mergeCell ref="A410:B410"/>
    <mergeCell ref="A411:B411"/>
    <mergeCell ref="A412:B412"/>
    <mergeCell ref="A413:B413"/>
    <mergeCell ref="A414:B414"/>
    <mergeCell ref="A415:B415"/>
    <mergeCell ref="A416:B416"/>
    <mergeCell ref="A417:B417"/>
    <mergeCell ref="D416:E416"/>
    <mergeCell ref="A288:F288"/>
    <mergeCell ref="A289:F289"/>
    <mergeCell ref="G269:Q269"/>
    <mergeCell ref="A280:F280"/>
    <mergeCell ref="G280:Q280"/>
    <mergeCell ref="A291:F291"/>
    <mergeCell ref="G291:Q291"/>
    <mergeCell ref="A281:F281"/>
    <mergeCell ref="A282:F282"/>
    <mergeCell ref="A283:F283"/>
    <mergeCell ref="A300:F300"/>
    <mergeCell ref="A302:F302"/>
    <mergeCell ref="G302:Q302"/>
    <mergeCell ref="A303:F303"/>
    <mergeCell ref="A301:Q301"/>
    <mergeCell ref="A284:F284"/>
    <mergeCell ref="A311:F311"/>
    <mergeCell ref="D380:E380"/>
    <mergeCell ref="G380:H380"/>
    <mergeCell ref="E367:G367"/>
    <mergeCell ref="E368:G368"/>
    <mergeCell ref="J375:K375"/>
    <mergeCell ref="M375:N375"/>
    <mergeCell ref="A376:B376"/>
    <mergeCell ref="D376:E376"/>
    <mergeCell ref="G376:H376"/>
    <mergeCell ref="J376:K376"/>
    <mergeCell ref="M376:N376"/>
    <mergeCell ref="A377:B377"/>
    <mergeCell ref="A143:G143"/>
    <mergeCell ref="H143:Q143"/>
    <mergeCell ref="A269:F269"/>
    <mergeCell ref="A270:F270"/>
    <mergeCell ref="A271:F271"/>
    <mergeCell ref="A272:F272"/>
    <mergeCell ref="A273:F273"/>
    <mergeCell ref="A274:F274"/>
    <mergeCell ref="A275:F275"/>
    <mergeCell ref="A276:F276"/>
    <mergeCell ref="A277:F277"/>
    <mergeCell ref="A278:F278"/>
    <mergeCell ref="D263:G263"/>
    <mergeCell ref="H263:L263"/>
    <mergeCell ref="M263:Q263"/>
    <mergeCell ref="D264:G264"/>
    <mergeCell ref="H264:L264"/>
    <mergeCell ref="H262:L262"/>
    <mergeCell ref="M262:Q262"/>
    <mergeCell ref="D246:G246"/>
    <mergeCell ref="H246:L246"/>
    <mergeCell ref="M246:Q246"/>
    <mergeCell ref="D244:G244"/>
    <mergeCell ref="H244:L244"/>
    <mergeCell ref="M244:Q244"/>
    <mergeCell ref="D245:G245"/>
    <mergeCell ref="H245:L245"/>
    <mergeCell ref="M245:Q245"/>
    <mergeCell ref="D242:G242"/>
    <mergeCell ref="H242:L242"/>
    <mergeCell ref="M266:Q266"/>
    <mergeCell ref="A262:C266"/>
    <mergeCell ref="L118:Q118"/>
    <mergeCell ref="L119:Q119"/>
    <mergeCell ref="B109:Q109"/>
    <mergeCell ref="B110:Q110"/>
    <mergeCell ref="B111:Q111"/>
    <mergeCell ref="A112:Q112"/>
    <mergeCell ref="B101:Q101"/>
    <mergeCell ref="B102:Q102"/>
    <mergeCell ref="B103:Q103"/>
    <mergeCell ref="A104:Q104"/>
    <mergeCell ref="A101:A102"/>
    <mergeCell ref="A109:A110"/>
    <mergeCell ref="A118:D118"/>
    <mergeCell ref="A119:D119"/>
    <mergeCell ref="A120:D120"/>
    <mergeCell ref="A123:D123"/>
    <mergeCell ref="E117:K117"/>
    <mergeCell ref="A121:D121"/>
    <mergeCell ref="E121:K121"/>
    <mergeCell ref="L121:Q121"/>
    <mergeCell ref="A122:D122"/>
    <mergeCell ref="E122:K122"/>
    <mergeCell ref="L122:Q122"/>
    <mergeCell ref="I2:L2"/>
    <mergeCell ref="I3:L3"/>
    <mergeCell ref="I4:L4"/>
    <mergeCell ref="I5:L5"/>
    <mergeCell ref="I27:M27"/>
    <mergeCell ref="I28:M28"/>
    <mergeCell ref="I29:M29"/>
    <mergeCell ref="I30:M30"/>
    <mergeCell ref="I31:M31"/>
    <mergeCell ref="I32:M32"/>
    <mergeCell ref="I33:M33"/>
    <mergeCell ref="I34:M34"/>
    <mergeCell ref="I35:M35"/>
    <mergeCell ref="I71:K71"/>
    <mergeCell ref="I72:K72"/>
    <mergeCell ref="I73:K73"/>
    <mergeCell ref="I74:K74"/>
    <mergeCell ref="M5:Q5"/>
    <mergeCell ref="K14:M14"/>
    <mergeCell ref="K15:M15"/>
    <mergeCell ref="K16:M16"/>
    <mergeCell ref="A38:Q38"/>
    <mergeCell ref="A39:Q39"/>
    <mergeCell ref="N40:Q40"/>
    <mergeCell ref="N41:Q41"/>
    <mergeCell ref="N42:Q42"/>
    <mergeCell ref="D4:H4"/>
    <mergeCell ref="A6:Q6"/>
    <mergeCell ref="E12:J12"/>
    <mergeCell ref="E13:J13"/>
    <mergeCell ref="A28:D28"/>
    <mergeCell ref="A29:D29"/>
    <mergeCell ref="M564:N564"/>
    <mergeCell ref="O564:Q564"/>
    <mergeCell ref="E564:G564"/>
    <mergeCell ref="H564:J564"/>
    <mergeCell ref="A565:B565"/>
    <mergeCell ref="C565:D565"/>
    <mergeCell ref="E565:G565"/>
    <mergeCell ref="H565:J565"/>
    <mergeCell ref="K565:L565"/>
    <mergeCell ref="M565:N565"/>
    <mergeCell ref="O565:Q565"/>
    <mergeCell ref="A567:B567"/>
    <mergeCell ref="C567:D567"/>
    <mergeCell ref="E567:G567"/>
    <mergeCell ref="H567:J567"/>
    <mergeCell ref="K567:L567"/>
    <mergeCell ref="M567:N567"/>
    <mergeCell ref="O567:Q567"/>
    <mergeCell ref="K564:L564"/>
    <mergeCell ref="A566:B566"/>
    <mergeCell ref="C566:D566"/>
    <mergeCell ref="E566:G566"/>
    <mergeCell ref="H566:J566"/>
    <mergeCell ref="K566:L566"/>
    <mergeCell ref="M566:N566"/>
    <mergeCell ref="O566:Q566"/>
    <mergeCell ref="H562:J562"/>
    <mergeCell ref="K562:L562"/>
    <mergeCell ref="M562:N562"/>
    <mergeCell ref="O562:Q562"/>
    <mergeCell ref="H558:Q558"/>
    <mergeCell ref="A559:B559"/>
    <mergeCell ref="C559:D559"/>
    <mergeCell ref="E559:G559"/>
    <mergeCell ref="H559:J559"/>
    <mergeCell ref="K559:L559"/>
    <mergeCell ref="H551:J551"/>
    <mergeCell ref="K550:L550"/>
    <mergeCell ref="M550:N550"/>
    <mergeCell ref="O550:Q550"/>
    <mergeCell ref="A552:B552"/>
    <mergeCell ref="C552:D552"/>
    <mergeCell ref="E552:G552"/>
    <mergeCell ref="H552:J552"/>
    <mergeCell ref="A558:G558"/>
    <mergeCell ref="A556:B556"/>
    <mergeCell ref="A557:B557"/>
    <mergeCell ref="C557:D557"/>
    <mergeCell ref="E557:G557"/>
    <mergeCell ref="H557:J557"/>
    <mergeCell ref="K557:L557"/>
    <mergeCell ref="M557:N557"/>
    <mergeCell ref="O557:Q557"/>
    <mergeCell ref="H553:J553"/>
    <mergeCell ref="K553:L553"/>
    <mergeCell ref="E554:G554"/>
    <mergeCell ref="E555:G555"/>
    <mergeCell ref="H555:J555"/>
    <mergeCell ref="A537:G537"/>
    <mergeCell ref="H537:Q537"/>
    <mergeCell ref="A531:B531"/>
    <mergeCell ref="A532:B532"/>
    <mergeCell ref="A533:B533"/>
    <mergeCell ref="A534:B534"/>
    <mergeCell ref="A535:B535"/>
    <mergeCell ref="C535:D535"/>
    <mergeCell ref="E535:G535"/>
    <mergeCell ref="H535:J535"/>
    <mergeCell ref="H554:J554"/>
    <mergeCell ref="K554:L554"/>
    <mergeCell ref="M554:N554"/>
    <mergeCell ref="O554:Q554"/>
    <mergeCell ref="A550:B550"/>
    <mergeCell ref="C550:D550"/>
    <mergeCell ref="E550:G550"/>
    <mergeCell ref="H550:J550"/>
    <mergeCell ref="M553:N553"/>
    <mergeCell ref="O553:Q553"/>
    <mergeCell ref="A554:B554"/>
    <mergeCell ref="C554:D554"/>
    <mergeCell ref="K535:L535"/>
    <mergeCell ref="M535:N535"/>
    <mergeCell ref="O535:Q535"/>
    <mergeCell ref="A536:B536"/>
    <mergeCell ref="C536:D536"/>
    <mergeCell ref="E536:G536"/>
    <mergeCell ref="H536:J536"/>
    <mergeCell ref="K536:L536"/>
    <mergeCell ref="M536:N536"/>
    <mergeCell ref="O536:Q536"/>
    <mergeCell ref="K653:L653"/>
    <mergeCell ref="K654:L654"/>
    <mergeCell ref="K655:L655"/>
    <mergeCell ref="A629:Q629"/>
    <mergeCell ref="M614:N614"/>
    <mergeCell ref="O614:Q614"/>
    <mergeCell ref="M615:N615"/>
    <mergeCell ref="E614:G614"/>
    <mergeCell ref="E615:G615"/>
    <mergeCell ref="C616:D616"/>
    <mergeCell ref="M616:N616"/>
    <mergeCell ref="E616:G616"/>
    <mergeCell ref="B628:Q628"/>
    <mergeCell ref="E631:G631"/>
    <mergeCell ref="E632:G632"/>
    <mergeCell ref="E633:G633"/>
    <mergeCell ref="H651:J651"/>
    <mergeCell ref="K651:L651"/>
    <mergeCell ref="B648:Q648"/>
    <mergeCell ref="E652:G652"/>
    <mergeCell ref="A617:Q617"/>
    <mergeCell ref="A618:B618"/>
    <mergeCell ref="C618:D618"/>
    <mergeCell ref="E618:G618"/>
    <mergeCell ref="H618:J618"/>
    <mergeCell ref="K618:L618"/>
    <mergeCell ref="M618:N618"/>
    <mergeCell ref="M638:N638"/>
    <mergeCell ref="K636:L636"/>
    <mergeCell ref="E634:G634"/>
    <mergeCell ref="E635:G635"/>
    <mergeCell ref="E636:G636"/>
    <mergeCell ref="A682:Q682"/>
    <mergeCell ref="A683:Q683"/>
    <mergeCell ref="A678:B678"/>
    <mergeCell ref="C678:G678"/>
    <mergeCell ref="H678:L678"/>
    <mergeCell ref="M678:Q678"/>
    <mergeCell ref="A679:B679"/>
    <mergeCell ref="O654:Q654"/>
    <mergeCell ref="A655:B655"/>
    <mergeCell ref="C655:D655"/>
    <mergeCell ref="M655:N655"/>
    <mergeCell ref="O655:Q655"/>
    <mergeCell ref="A654:B654"/>
    <mergeCell ref="C654:D654"/>
    <mergeCell ref="M654:N654"/>
    <mergeCell ref="O652:Q652"/>
    <mergeCell ref="A653:B653"/>
    <mergeCell ref="C653:D653"/>
    <mergeCell ref="M653:N653"/>
    <mergeCell ref="O653:Q653"/>
    <mergeCell ref="A652:B652"/>
    <mergeCell ref="C652:D652"/>
    <mergeCell ref="M652:N652"/>
    <mergeCell ref="E653:G653"/>
    <mergeCell ref="E654:G654"/>
    <mergeCell ref="E655:G655"/>
    <mergeCell ref="H652:J652"/>
    <mergeCell ref="H653:J653"/>
    <mergeCell ref="H654:J654"/>
    <mergeCell ref="K652:L652"/>
    <mergeCell ref="P658:Q658"/>
    <mergeCell ref="A681:Q681"/>
    <mergeCell ref="N80:Q80"/>
    <mergeCell ref="A81:H81"/>
    <mergeCell ref="L81:M81"/>
    <mergeCell ref="N81:Q81"/>
    <mergeCell ref="A82:H82"/>
    <mergeCell ref="L82:M82"/>
    <mergeCell ref="N82:Q82"/>
    <mergeCell ref="A337:B337"/>
    <mergeCell ref="A338:B338"/>
    <mergeCell ref="A339:B339"/>
    <mergeCell ref="A328:B328"/>
    <mergeCell ref="A329:B329"/>
    <mergeCell ref="A330:B330"/>
    <mergeCell ref="A331:B331"/>
    <mergeCell ref="A332:B332"/>
    <mergeCell ref="A333:B333"/>
    <mergeCell ref="A322:B322"/>
    <mergeCell ref="A323:B323"/>
    <mergeCell ref="A324:B324"/>
    <mergeCell ref="A325:B325"/>
    <mergeCell ref="A326:B326"/>
    <mergeCell ref="A327:B327"/>
    <mergeCell ref="E334:G334"/>
    <mergeCell ref="E335:G335"/>
    <mergeCell ref="E336:G336"/>
    <mergeCell ref="E123:K123"/>
    <mergeCell ref="L120:Q120"/>
    <mergeCell ref="A125:D125"/>
    <mergeCell ref="A127:Q127"/>
    <mergeCell ref="A114:Q114"/>
    <mergeCell ref="H315:L315"/>
    <mergeCell ref="L117:Q117"/>
    <mergeCell ref="A691:B691"/>
    <mergeCell ref="A694:B694"/>
    <mergeCell ref="A685:B685"/>
    <mergeCell ref="A686:B686"/>
    <mergeCell ref="A687:B687"/>
    <mergeCell ref="A688:B688"/>
    <mergeCell ref="A689:B689"/>
    <mergeCell ref="A690:B690"/>
    <mergeCell ref="C692:E693"/>
    <mergeCell ref="I692:K693"/>
    <mergeCell ref="C694:E694"/>
    <mergeCell ref="I694:K694"/>
    <mergeCell ref="C690:E690"/>
    <mergeCell ref="I690:K690"/>
    <mergeCell ref="C691:E691"/>
    <mergeCell ref="I691:K691"/>
    <mergeCell ref="C684:E684"/>
    <mergeCell ref="I684:K684"/>
    <mergeCell ref="A692:B693"/>
    <mergeCell ref="A684:B684"/>
    <mergeCell ref="C680:G680"/>
    <mergeCell ref="H680:L680"/>
    <mergeCell ref="C679:G679"/>
    <mergeCell ref="H679:L679"/>
    <mergeCell ref="M679:Q679"/>
    <mergeCell ref="A676:B676"/>
    <mergeCell ref="C676:G676"/>
    <mergeCell ref="H676:L676"/>
    <mergeCell ref="M676:Q676"/>
    <mergeCell ref="A677:B677"/>
    <mergeCell ref="C677:G677"/>
    <mergeCell ref="H677:L677"/>
    <mergeCell ref="M677:Q677"/>
    <mergeCell ref="C671:G671"/>
    <mergeCell ref="H671:L671"/>
    <mergeCell ref="M671:Q671"/>
    <mergeCell ref="A671:B671"/>
    <mergeCell ref="M680:Q680"/>
    <mergeCell ref="A674:B674"/>
    <mergeCell ref="C674:G674"/>
    <mergeCell ref="A680:B680"/>
    <mergeCell ref="A659:Q667"/>
    <mergeCell ref="A639:Q647"/>
    <mergeCell ref="A649:Q649"/>
    <mergeCell ref="A650:B651"/>
    <mergeCell ref="O650:Q651"/>
    <mergeCell ref="H674:L674"/>
    <mergeCell ref="M674:Q674"/>
    <mergeCell ref="A675:B675"/>
    <mergeCell ref="C675:G675"/>
    <mergeCell ref="H675:L675"/>
    <mergeCell ref="M675:Q675"/>
    <mergeCell ref="A672:B672"/>
    <mergeCell ref="C672:G672"/>
    <mergeCell ref="H672:L672"/>
    <mergeCell ref="M672:Q672"/>
    <mergeCell ref="A673:B673"/>
    <mergeCell ref="C673:G673"/>
    <mergeCell ref="H673:L673"/>
    <mergeCell ref="M673:Q673"/>
    <mergeCell ref="O656:Q656"/>
    <mergeCell ref="A657:Q657"/>
    <mergeCell ref="A656:B656"/>
    <mergeCell ref="C656:D656"/>
    <mergeCell ref="M656:N656"/>
    <mergeCell ref="A658:B658"/>
    <mergeCell ref="C658:D658"/>
    <mergeCell ref="A669:Q669"/>
    <mergeCell ref="A670:Q670"/>
    <mergeCell ref="C650:D651"/>
    <mergeCell ref="E650:L650"/>
    <mergeCell ref="M650:N651"/>
    <mergeCell ref="E651:G651"/>
    <mergeCell ref="O613:Q613"/>
    <mergeCell ref="A614:B614"/>
    <mergeCell ref="H612:J612"/>
    <mergeCell ref="H613:J613"/>
    <mergeCell ref="H614:J614"/>
    <mergeCell ref="H615:J615"/>
    <mergeCell ref="H616:J616"/>
    <mergeCell ref="K612:L612"/>
    <mergeCell ref="K613:L613"/>
    <mergeCell ref="E658:G658"/>
    <mergeCell ref="H658:J658"/>
    <mergeCell ref="K658:L658"/>
    <mergeCell ref="M658:N658"/>
    <mergeCell ref="B668:Q668"/>
    <mergeCell ref="E656:G656"/>
    <mergeCell ref="C636:D636"/>
    <mergeCell ref="M636:N636"/>
    <mergeCell ref="O634:Q634"/>
    <mergeCell ref="A635:B635"/>
    <mergeCell ref="C635:D635"/>
    <mergeCell ref="M635:N635"/>
    <mergeCell ref="O635:Q635"/>
    <mergeCell ref="A634:B634"/>
    <mergeCell ref="C634:D634"/>
    <mergeCell ref="M634:N634"/>
    <mergeCell ref="A638:B638"/>
    <mergeCell ref="C638:D638"/>
    <mergeCell ref="E638:G638"/>
    <mergeCell ref="H638:J638"/>
    <mergeCell ref="K638:L638"/>
    <mergeCell ref="O615:Q615"/>
    <mergeCell ref="A616:B616"/>
    <mergeCell ref="A607:Q607"/>
    <mergeCell ref="A608:Q608"/>
    <mergeCell ref="A609:Q609"/>
    <mergeCell ref="A605:B605"/>
    <mergeCell ref="C605:G605"/>
    <mergeCell ref="H605:L605"/>
    <mergeCell ref="M605:Q605"/>
    <mergeCell ref="A606:B606"/>
    <mergeCell ref="C606:G606"/>
    <mergeCell ref="H606:L606"/>
    <mergeCell ref="M606:Q606"/>
    <mergeCell ref="A613:B613"/>
    <mergeCell ref="C613:D613"/>
    <mergeCell ref="C614:D614"/>
    <mergeCell ref="O616:Q616"/>
    <mergeCell ref="A615:B615"/>
    <mergeCell ref="C615:D615"/>
    <mergeCell ref="A612:B612"/>
    <mergeCell ref="C612:D612"/>
    <mergeCell ref="M612:N612"/>
    <mergeCell ref="O612:Q612"/>
    <mergeCell ref="E611:G611"/>
    <mergeCell ref="H611:J611"/>
    <mergeCell ref="K611:L611"/>
    <mergeCell ref="E610:L610"/>
    <mergeCell ref="M610:N611"/>
    <mergeCell ref="O610:Q611"/>
    <mergeCell ref="A610:B611"/>
    <mergeCell ref="C610:D611"/>
    <mergeCell ref="M613:N613"/>
    <mergeCell ref="E612:G612"/>
    <mergeCell ref="E613:G613"/>
    <mergeCell ref="A603:B603"/>
    <mergeCell ref="C603:G603"/>
    <mergeCell ref="H603:L603"/>
    <mergeCell ref="M603:Q603"/>
    <mergeCell ref="A604:B604"/>
    <mergeCell ref="C604:G604"/>
    <mergeCell ref="H604:L604"/>
    <mergeCell ref="M604:Q604"/>
    <mergeCell ref="A601:B601"/>
    <mergeCell ref="C601:G601"/>
    <mergeCell ref="H601:L601"/>
    <mergeCell ref="M601:Q601"/>
    <mergeCell ref="A596:B596"/>
    <mergeCell ref="A597:B597"/>
    <mergeCell ref="A594:B594"/>
    <mergeCell ref="A595:B595"/>
    <mergeCell ref="A602:B602"/>
    <mergeCell ref="C602:G602"/>
    <mergeCell ref="H602:L602"/>
    <mergeCell ref="M602:Q602"/>
    <mergeCell ref="A599:B599"/>
    <mergeCell ref="C599:G599"/>
    <mergeCell ref="H599:L599"/>
    <mergeCell ref="M599:Q599"/>
    <mergeCell ref="A600:B600"/>
    <mergeCell ref="C600:G600"/>
    <mergeCell ref="H600:L600"/>
    <mergeCell ref="M600:Q600"/>
    <mergeCell ref="C597:G597"/>
    <mergeCell ref="H597:L597"/>
    <mergeCell ref="M597:Q597"/>
    <mergeCell ref="M578:Q578"/>
    <mergeCell ref="A578:B578"/>
    <mergeCell ref="C598:G598"/>
    <mergeCell ref="H598:L598"/>
    <mergeCell ref="M598:Q598"/>
    <mergeCell ref="A598:B598"/>
    <mergeCell ref="M595:Q595"/>
    <mergeCell ref="C596:G596"/>
    <mergeCell ref="H596:L596"/>
    <mergeCell ref="M596:Q596"/>
    <mergeCell ref="C593:G593"/>
    <mergeCell ref="H593:L593"/>
    <mergeCell ref="M593:Q593"/>
    <mergeCell ref="C594:G594"/>
    <mergeCell ref="H594:L594"/>
    <mergeCell ref="M594:Q594"/>
    <mergeCell ref="C591:G591"/>
    <mergeCell ref="H591:L591"/>
    <mergeCell ref="M591:Q591"/>
    <mergeCell ref="C592:G592"/>
    <mergeCell ref="H592:L592"/>
    <mergeCell ref="M592:Q592"/>
    <mergeCell ref="A592:B592"/>
    <mergeCell ref="A593:B593"/>
    <mergeCell ref="A591:B591"/>
    <mergeCell ref="C595:G595"/>
    <mergeCell ref="H595:L595"/>
    <mergeCell ref="H576:L576"/>
    <mergeCell ref="A568:Q568"/>
    <mergeCell ref="E562:G562"/>
    <mergeCell ref="A563:B563"/>
    <mergeCell ref="C563:D563"/>
    <mergeCell ref="E563:G563"/>
    <mergeCell ref="H563:J563"/>
    <mergeCell ref="K563:L563"/>
    <mergeCell ref="M563:N563"/>
    <mergeCell ref="O563:Q563"/>
    <mergeCell ref="A564:B564"/>
    <mergeCell ref="C564:D564"/>
    <mergeCell ref="A589:Q589"/>
    <mergeCell ref="A588:Q588"/>
    <mergeCell ref="C581:G581"/>
    <mergeCell ref="H581:L581"/>
    <mergeCell ref="C582:G582"/>
    <mergeCell ref="H582:L582"/>
    <mergeCell ref="C578:G578"/>
    <mergeCell ref="H578:L578"/>
    <mergeCell ref="C579:G579"/>
    <mergeCell ref="H579:L579"/>
    <mergeCell ref="C580:G580"/>
    <mergeCell ref="H580:L580"/>
    <mergeCell ref="M581:Q581"/>
    <mergeCell ref="M582:Q582"/>
    <mergeCell ref="A582:B582"/>
    <mergeCell ref="M579:Q579"/>
    <mergeCell ref="M580:Q580"/>
    <mergeCell ref="A579:B579"/>
    <mergeCell ref="A580:B580"/>
    <mergeCell ref="A581:B581"/>
    <mergeCell ref="A569:Q569"/>
    <mergeCell ref="A571:Q571"/>
    <mergeCell ref="M573:Q573"/>
    <mergeCell ref="M574:Q574"/>
    <mergeCell ref="M575:Q575"/>
    <mergeCell ref="M576:Q576"/>
    <mergeCell ref="C577:G577"/>
    <mergeCell ref="H577:L577"/>
    <mergeCell ref="M559:N559"/>
    <mergeCell ref="O559:Q559"/>
    <mergeCell ref="A560:B560"/>
    <mergeCell ref="C560:D560"/>
    <mergeCell ref="E560:G560"/>
    <mergeCell ref="H560:J560"/>
    <mergeCell ref="K560:L560"/>
    <mergeCell ref="M560:N560"/>
    <mergeCell ref="O560:Q560"/>
    <mergeCell ref="A562:B562"/>
    <mergeCell ref="C562:D562"/>
    <mergeCell ref="A573:B573"/>
    <mergeCell ref="A574:B574"/>
    <mergeCell ref="A575:B575"/>
    <mergeCell ref="A576:B576"/>
    <mergeCell ref="A577:B577"/>
    <mergeCell ref="C573:G573"/>
    <mergeCell ref="H573:L573"/>
    <mergeCell ref="C574:G574"/>
    <mergeCell ref="H574:L574"/>
    <mergeCell ref="C575:G575"/>
    <mergeCell ref="M577:Q577"/>
    <mergeCell ref="H575:L575"/>
    <mergeCell ref="C576:G576"/>
    <mergeCell ref="C533:D533"/>
    <mergeCell ref="E533:G533"/>
    <mergeCell ref="H533:J533"/>
    <mergeCell ref="K533:L533"/>
    <mergeCell ref="C534:D534"/>
    <mergeCell ref="H528:J528"/>
    <mergeCell ref="E528:G528"/>
    <mergeCell ref="C528:D528"/>
    <mergeCell ref="C532:D532"/>
    <mergeCell ref="E532:G532"/>
    <mergeCell ref="H532:J532"/>
    <mergeCell ref="C529:D529"/>
    <mergeCell ref="E529:G529"/>
    <mergeCell ref="H529:J529"/>
    <mergeCell ref="K529:L529"/>
    <mergeCell ref="C530:D530"/>
    <mergeCell ref="E530:G530"/>
    <mergeCell ref="H530:J530"/>
    <mergeCell ref="K530:L530"/>
    <mergeCell ref="C531:D531"/>
    <mergeCell ref="K532:L532"/>
    <mergeCell ref="M533:N533"/>
    <mergeCell ref="A465:Q465"/>
    <mergeCell ref="A466:Q466"/>
    <mergeCell ref="A527:G527"/>
    <mergeCell ref="H527:Q527"/>
    <mergeCell ref="M528:N528"/>
    <mergeCell ref="M529:N529"/>
    <mergeCell ref="M530:N530"/>
    <mergeCell ref="M531:N531"/>
    <mergeCell ref="M532:N532"/>
    <mergeCell ref="E451:G451"/>
    <mergeCell ref="H451:J451"/>
    <mergeCell ref="M449:N449"/>
    <mergeCell ref="K450:L450"/>
    <mergeCell ref="K448:L448"/>
    <mergeCell ref="M448:N448"/>
    <mergeCell ref="K449:L449"/>
    <mergeCell ref="O448:Q448"/>
    <mergeCell ref="O449:Q449"/>
    <mergeCell ref="O450:Q450"/>
    <mergeCell ref="O451:Q451"/>
    <mergeCell ref="A450:D450"/>
    <mergeCell ref="O531:Q531"/>
    <mergeCell ref="O532:Q532"/>
    <mergeCell ref="E452:Q452"/>
    <mergeCell ref="A526:Q526"/>
    <mergeCell ref="O533:Q533"/>
    <mergeCell ref="A451:D451"/>
    <mergeCell ref="A452:D452"/>
    <mergeCell ref="A453:D453"/>
    <mergeCell ref="E449:G449"/>
    <mergeCell ref="H449:J449"/>
    <mergeCell ref="O534:Q534"/>
    <mergeCell ref="A525:Q525"/>
    <mergeCell ref="O528:Q528"/>
    <mergeCell ref="O529:Q529"/>
    <mergeCell ref="O530:Q530"/>
    <mergeCell ref="A528:B528"/>
    <mergeCell ref="A529:B529"/>
    <mergeCell ref="A530:B530"/>
    <mergeCell ref="E534:G534"/>
    <mergeCell ref="H534:J534"/>
    <mergeCell ref="K534:L534"/>
    <mergeCell ref="E531:G531"/>
    <mergeCell ref="H531:J531"/>
    <mergeCell ref="K531:L531"/>
    <mergeCell ref="K528:L528"/>
    <mergeCell ref="M534:N534"/>
    <mergeCell ref="E431:Q431"/>
    <mergeCell ref="E432:Q432"/>
    <mergeCell ref="E433:Q433"/>
    <mergeCell ref="A444:Q444"/>
    <mergeCell ref="A445:Q445"/>
    <mergeCell ref="A446:E446"/>
    <mergeCell ref="A457:Q463"/>
    <mergeCell ref="E453:Q453"/>
    <mergeCell ref="E454:Q454"/>
    <mergeCell ref="E455:Q455"/>
    <mergeCell ref="A454:D455"/>
    <mergeCell ref="E448:G448"/>
    <mergeCell ref="H448:J448"/>
    <mergeCell ref="M450:N450"/>
    <mergeCell ref="K451:L451"/>
    <mergeCell ref="M451:N451"/>
    <mergeCell ref="E450:G450"/>
    <mergeCell ref="H450:J450"/>
    <mergeCell ref="A369:B369"/>
    <mergeCell ref="C369:G369"/>
    <mergeCell ref="H369:L369"/>
    <mergeCell ref="M369:Q369"/>
    <mergeCell ref="A398:Q398"/>
    <mergeCell ref="C435:D435"/>
    <mergeCell ref="C436:D436"/>
    <mergeCell ref="A428:D428"/>
    <mergeCell ref="A427:Q427"/>
    <mergeCell ref="A426:Q426"/>
    <mergeCell ref="H429:J429"/>
    <mergeCell ref="E428:Q428"/>
    <mergeCell ref="E434:Q434"/>
    <mergeCell ref="E440:Q440"/>
    <mergeCell ref="H435:J435"/>
    <mergeCell ref="K435:L435"/>
    <mergeCell ref="M435:N435"/>
    <mergeCell ref="A418:B418"/>
    <mergeCell ref="A419:B419"/>
    <mergeCell ref="A420:B420"/>
    <mergeCell ref="D421:E421"/>
    <mergeCell ref="D422:E422"/>
    <mergeCell ref="D423:E423"/>
    <mergeCell ref="D424:E424"/>
    <mergeCell ref="G400:H400"/>
    <mergeCell ref="D379:E379"/>
    <mergeCell ref="G379:H379"/>
    <mergeCell ref="J379:K379"/>
    <mergeCell ref="M379:N379"/>
    <mergeCell ref="A380:B380"/>
    <mergeCell ref="D377:E377"/>
    <mergeCell ref="G377:H377"/>
    <mergeCell ref="J377:K377"/>
    <mergeCell ref="A442:Q442"/>
    <mergeCell ref="A443:Q443"/>
    <mergeCell ref="D401:E401"/>
    <mergeCell ref="D402:E402"/>
    <mergeCell ref="D403:E403"/>
    <mergeCell ref="D404:E404"/>
    <mergeCell ref="D405:E405"/>
    <mergeCell ref="D406:E406"/>
    <mergeCell ref="D407:E407"/>
    <mergeCell ref="D408:E408"/>
    <mergeCell ref="D409:E409"/>
    <mergeCell ref="D410:E410"/>
    <mergeCell ref="D411:E411"/>
    <mergeCell ref="D412:E412"/>
    <mergeCell ref="D413:E413"/>
    <mergeCell ref="D414:E414"/>
    <mergeCell ref="D415:E415"/>
    <mergeCell ref="A378:B378"/>
    <mergeCell ref="A379:B379"/>
    <mergeCell ref="C429:D429"/>
    <mergeCell ref="C430:D430"/>
    <mergeCell ref="C431:D431"/>
    <mergeCell ref="C432:D432"/>
    <mergeCell ref="C433:D433"/>
    <mergeCell ref="C434:D434"/>
    <mergeCell ref="C437:D437"/>
    <mergeCell ref="C438:D438"/>
    <mergeCell ref="E435:G435"/>
    <mergeCell ref="E436:G436"/>
    <mergeCell ref="A365:B365"/>
    <mergeCell ref="C365:D365"/>
    <mergeCell ref="M365:N365"/>
    <mergeCell ref="O365:Q365"/>
    <mergeCell ref="A368:B368"/>
    <mergeCell ref="C368:D368"/>
    <mergeCell ref="M368:N368"/>
    <mergeCell ref="O368:Q368"/>
    <mergeCell ref="H368:I368"/>
    <mergeCell ref="J368:L368"/>
    <mergeCell ref="H365:I365"/>
    <mergeCell ref="J365:L365"/>
    <mergeCell ref="H366:I366"/>
    <mergeCell ref="J366:L366"/>
    <mergeCell ref="H367:I367"/>
    <mergeCell ref="J367:L367"/>
    <mergeCell ref="C439:D439"/>
    <mergeCell ref="E429:G429"/>
    <mergeCell ref="E430:G430"/>
    <mergeCell ref="O435:Q435"/>
    <mergeCell ref="H436:J436"/>
    <mergeCell ref="K436:L436"/>
    <mergeCell ref="M436:N436"/>
    <mergeCell ref="O436:Q436"/>
    <mergeCell ref="E437:Q437"/>
    <mergeCell ref="E438:Q438"/>
    <mergeCell ref="E439:Q439"/>
    <mergeCell ref="K429:L429"/>
    <mergeCell ref="M429:N429"/>
    <mergeCell ref="O429:Q429"/>
    <mergeCell ref="A367:B367"/>
    <mergeCell ref="C367:D367"/>
    <mergeCell ref="A364:B364"/>
    <mergeCell ref="C364:D364"/>
    <mergeCell ref="E364:G364"/>
    <mergeCell ref="M364:N364"/>
    <mergeCell ref="O364:Q364"/>
    <mergeCell ref="A363:B363"/>
    <mergeCell ref="C363:D363"/>
    <mergeCell ref="E363:G363"/>
    <mergeCell ref="M363:N363"/>
    <mergeCell ref="E365:G365"/>
    <mergeCell ref="E366:G366"/>
    <mergeCell ref="O361:Q361"/>
    <mergeCell ref="A362:B362"/>
    <mergeCell ref="C362:D362"/>
    <mergeCell ref="E362:G362"/>
    <mergeCell ref="M362:N362"/>
    <mergeCell ref="O362:Q362"/>
    <mergeCell ref="A361:B361"/>
    <mergeCell ref="C361:D361"/>
    <mergeCell ref="E361:G361"/>
    <mergeCell ref="M361:N361"/>
    <mergeCell ref="H361:I361"/>
    <mergeCell ref="H362:I362"/>
    <mergeCell ref="J362:L362"/>
    <mergeCell ref="H363:I363"/>
    <mergeCell ref="J363:L363"/>
    <mergeCell ref="H364:I364"/>
    <mergeCell ref="J364:L364"/>
    <mergeCell ref="A366:B366"/>
    <mergeCell ref="C366:D366"/>
    <mergeCell ref="M366:N366"/>
    <mergeCell ref="O366:Q366"/>
    <mergeCell ref="A360:B360"/>
    <mergeCell ref="C360:D360"/>
    <mergeCell ref="E360:G360"/>
    <mergeCell ref="M360:N360"/>
    <mergeCell ref="O360:Q360"/>
    <mergeCell ref="A359:B359"/>
    <mergeCell ref="C359:D359"/>
    <mergeCell ref="E359:G359"/>
    <mergeCell ref="M359:N359"/>
    <mergeCell ref="O357:Q357"/>
    <mergeCell ref="A358:B358"/>
    <mergeCell ref="C358:D358"/>
    <mergeCell ref="E358:G358"/>
    <mergeCell ref="M358:N358"/>
    <mergeCell ref="O358:Q358"/>
    <mergeCell ref="A357:B357"/>
    <mergeCell ref="C357:D357"/>
    <mergeCell ref="E357:G357"/>
    <mergeCell ref="M357:N357"/>
    <mergeCell ref="H357:I357"/>
    <mergeCell ref="J357:L357"/>
    <mergeCell ref="H358:I358"/>
    <mergeCell ref="J358:L358"/>
    <mergeCell ref="H359:I359"/>
    <mergeCell ref="H360:I360"/>
    <mergeCell ref="J359:L359"/>
    <mergeCell ref="J360:L360"/>
    <mergeCell ref="A356:B356"/>
    <mergeCell ref="C356:D356"/>
    <mergeCell ref="E356:G356"/>
    <mergeCell ref="M356:N356"/>
    <mergeCell ref="O356:Q356"/>
    <mergeCell ref="A355:B355"/>
    <mergeCell ref="C355:D355"/>
    <mergeCell ref="E355:G355"/>
    <mergeCell ref="M355:N355"/>
    <mergeCell ref="O353:Q353"/>
    <mergeCell ref="A354:B354"/>
    <mergeCell ref="C354:D354"/>
    <mergeCell ref="E354:G354"/>
    <mergeCell ref="M354:N354"/>
    <mergeCell ref="O354:Q354"/>
    <mergeCell ref="A353:B353"/>
    <mergeCell ref="C353:D353"/>
    <mergeCell ref="E353:G353"/>
    <mergeCell ref="M353:N353"/>
    <mergeCell ref="H355:I355"/>
    <mergeCell ref="J355:L355"/>
    <mergeCell ref="H356:I356"/>
    <mergeCell ref="J356:L356"/>
    <mergeCell ref="H353:I353"/>
    <mergeCell ref="J353:L353"/>
    <mergeCell ref="H354:I354"/>
    <mergeCell ref="J354:L354"/>
    <mergeCell ref="A352:B352"/>
    <mergeCell ref="C352:D352"/>
    <mergeCell ref="E352:G352"/>
    <mergeCell ref="M352:N352"/>
    <mergeCell ref="O352:Q352"/>
    <mergeCell ref="A351:B351"/>
    <mergeCell ref="C351:D351"/>
    <mergeCell ref="E351:G351"/>
    <mergeCell ref="M351:N351"/>
    <mergeCell ref="O349:Q349"/>
    <mergeCell ref="A350:B350"/>
    <mergeCell ref="C350:D350"/>
    <mergeCell ref="E350:G350"/>
    <mergeCell ref="M350:N350"/>
    <mergeCell ref="O350:Q350"/>
    <mergeCell ref="A349:B349"/>
    <mergeCell ref="C349:D349"/>
    <mergeCell ref="E349:G349"/>
    <mergeCell ref="M349:N349"/>
    <mergeCell ref="H352:I352"/>
    <mergeCell ref="J352:L352"/>
    <mergeCell ref="J350:L350"/>
    <mergeCell ref="H351:I351"/>
    <mergeCell ref="J351:L351"/>
    <mergeCell ref="H349:I349"/>
    <mergeCell ref="H350:I350"/>
    <mergeCell ref="A348:B348"/>
    <mergeCell ref="C348:D348"/>
    <mergeCell ref="E348:G348"/>
    <mergeCell ref="M348:N348"/>
    <mergeCell ref="O348:Q348"/>
    <mergeCell ref="A347:B347"/>
    <mergeCell ref="C347:D347"/>
    <mergeCell ref="E347:G347"/>
    <mergeCell ref="M347:N347"/>
    <mergeCell ref="O345:Q345"/>
    <mergeCell ref="A346:B346"/>
    <mergeCell ref="C346:D346"/>
    <mergeCell ref="E346:G346"/>
    <mergeCell ref="M346:N346"/>
    <mergeCell ref="O346:Q346"/>
    <mergeCell ref="O344:Q344"/>
    <mergeCell ref="A345:B345"/>
    <mergeCell ref="C345:D345"/>
    <mergeCell ref="E345:G345"/>
    <mergeCell ref="M345:N345"/>
    <mergeCell ref="A343:B344"/>
    <mergeCell ref="C343:G343"/>
    <mergeCell ref="H343:L343"/>
    <mergeCell ref="H345:I345"/>
    <mergeCell ref="C344:D344"/>
    <mergeCell ref="E344:G344"/>
    <mergeCell ref="M344:N344"/>
    <mergeCell ref="H344:I344"/>
    <mergeCell ref="J344:L344"/>
    <mergeCell ref="H348:I348"/>
    <mergeCell ref="A342:Q342"/>
    <mergeCell ref="H322:I322"/>
    <mergeCell ref="H323:I323"/>
    <mergeCell ref="H334:I334"/>
    <mergeCell ref="H335:I335"/>
    <mergeCell ref="H336:I336"/>
    <mergeCell ref="H316:I316"/>
    <mergeCell ref="J316:L316"/>
    <mergeCell ref="J317:L317"/>
    <mergeCell ref="H317:I317"/>
    <mergeCell ref="H318:I318"/>
    <mergeCell ref="H319:I319"/>
    <mergeCell ref="H320:I320"/>
    <mergeCell ref="H321:I321"/>
    <mergeCell ref="H341:L341"/>
    <mergeCell ref="M341:Q341"/>
    <mergeCell ref="M340:N340"/>
    <mergeCell ref="O340:Q340"/>
    <mergeCell ref="H324:I324"/>
    <mergeCell ref="H325:I325"/>
    <mergeCell ref="H326:I326"/>
    <mergeCell ref="H327:I327"/>
    <mergeCell ref="H328:I328"/>
    <mergeCell ref="H329:I329"/>
    <mergeCell ref="H330:I330"/>
    <mergeCell ref="H340:I340"/>
    <mergeCell ref="J318:L318"/>
    <mergeCell ref="E339:G339"/>
    <mergeCell ref="J319:L319"/>
    <mergeCell ref="J320:L320"/>
    <mergeCell ref="A315:B316"/>
    <mergeCell ref="A317:B317"/>
    <mergeCell ref="A318:B318"/>
    <mergeCell ref="A319:B319"/>
    <mergeCell ref="A320:B320"/>
    <mergeCell ref="A321:B321"/>
    <mergeCell ref="E329:G329"/>
    <mergeCell ref="E330:G330"/>
    <mergeCell ref="C322:D322"/>
    <mergeCell ref="E322:G322"/>
    <mergeCell ref="A340:B340"/>
    <mergeCell ref="C340:D340"/>
    <mergeCell ref="E340:G340"/>
    <mergeCell ref="C341:G341"/>
    <mergeCell ref="A341:B341"/>
    <mergeCell ref="M334:N334"/>
    <mergeCell ref="E325:G325"/>
    <mergeCell ref="A334:B334"/>
    <mergeCell ref="A335:B335"/>
    <mergeCell ref="A336:B336"/>
    <mergeCell ref="E321:G321"/>
    <mergeCell ref="C326:D326"/>
    <mergeCell ref="C327:D327"/>
    <mergeCell ref="C328:D328"/>
    <mergeCell ref="E326:G326"/>
    <mergeCell ref="C323:D323"/>
    <mergeCell ref="E337:G337"/>
    <mergeCell ref="M325:N325"/>
    <mergeCell ref="M326:N326"/>
    <mergeCell ref="M327:N327"/>
    <mergeCell ref="M328:N328"/>
    <mergeCell ref="M323:N323"/>
    <mergeCell ref="M324:N324"/>
    <mergeCell ref="O335:Q335"/>
    <mergeCell ref="C324:D324"/>
    <mergeCell ref="C325:D325"/>
    <mergeCell ref="E323:G323"/>
    <mergeCell ref="E324:G324"/>
    <mergeCell ref="H331:I331"/>
    <mergeCell ref="H332:I332"/>
    <mergeCell ref="H333:I333"/>
    <mergeCell ref="E331:G331"/>
    <mergeCell ref="E332:G332"/>
    <mergeCell ref="E316:G316"/>
    <mergeCell ref="E317:G317"/>
    <mergeCell ref="E318:G318"/>
    <mergeCell ref="O322:Q322"/>
    <mergeCell ref="C338:D338"/>
    <mergeCell ref="C339:D339"/>
    <mergeCell ref="C335:D335"/>
    <mergeCell ref="C336:D336"/>
    <mergeCell ref="C337:D337"/>
    <mergeCell ref="C332:D332"/>
    <mergeCell ref="C333:D333"/>
    <mergeCell ref="C334:D334"/>
    <mergeCell ref="E333:G333"/>
    <mergeCell ref="C329:D329"/>
    <mergeCell ref="C330:D330"/>
    <mergeCell ref="C331:D331"/>
    <mergeCell ref="M317:N317"/>
    <mergeCell ref="M318:N318"/>
    <mergeCell ref="M319:N319"/>
    <mergeCell ref="M320:N320"/>
    <mergeCell ref="M321:N321"/>
    <mergeCell ref="M322:N322"/>
    <mergeCell ref="O330:Q330"/>
    <mergeCell ref="O331:Q331"/>
    <mergeCell ref="O323:Q323"/>
    <mergeCell ref="O336:Q336"/>
    <mergeCell ref="O337:Q337"/>
    <mergeCell ref="E327:G327"/>
    <mergeCell ref="E328:G328"/>
    <mergeCell ref="M333:N333"/>
    <mergeCell ref="O339:Q339"/>
    <mergeCell ref="C317:D317"/>
    <mergeCell ref="C318:D318"/>
    <mergeCell ref="C319:D319"/>
    <mergeCell ref="A290:Q290"/>
    <mergeCell ref="A292:F292"/>
    <mergeCell ref="A293:F293"/>
    <mergeCell ref="A294:F294"/>
    <mergeCell ref="A295:F295"/>
    <mergeCell ref="A296:F296"/>
    <mergeCell ref="A297:F297"/>
    <mergeCell ref="A298:F298"/>
    <mergeCell ref="A299:F299"/>
    <mergeCell ref="A312:Q312"/>
    <mergeCell ref="A313:Q313"/>
    <mergeCell ref="C316:D316"/>
    <mergeCell ref="M316:N316"/>
    <mergeCell ref="A309:F309"/>
    <mergeCell ref="A310:F310"/>
    <mergeCell ref="O320:Q320"/>
    <mergeCell ref="O321:Q321"/>
    <mergeCell ref="C315:G315"/>
    <mergeCell ref="M315:Q315"/>
    <mergeCell ref="O316:Q316"/>
    <mergeCell ref="O317:Q317"/>
    <mergeCell ref="O318:Q318"/>
    <mergeCell ref="O319:Q319"/>
    <mergeCell ref="E319:G319"/>
    <mergeCell ref="E320:G320"/>
    <mergeCell ref="C320:D320"/>
    <mergeCell ref="C321:D321"/>
    <mergeCell ref="A304:F304"/>
    <mergeCell ref="A305:F305"/>
    <mergeCell ref="A306:F306"/>
    <mergeCell ref="A307:F307"/>
    <mergeCell ref="A308:F308"/>
    <mergeCell ref="M264:Q264"/>
    <mergeCell ref="A279:Q279"/>
    <mergeCell ref="D254:G254"/>
    <mergeCell ref="H254:L254"/>
    <mergeCell ref="M254:Q254"/>
    <mergeCell ref="D255:G255"/>
    <mergeCell ref="H255:L255"/>
    <mergeCell ref="M255:Q255"/>
    <mergeCell ref="D256:G256"/>
    <mergeCell ref="H256:L256"/>
    <mergeCell ref="M256:Q256"/>
    <mergeCell ref="D257:G257"/>
    <mergeCell ref="H257:L257"/>
    <mergeCell ref="A267:Q267"/>
    <mergeCell ref="A268:Q268"/>
    <mergeCell ref="D265:G265"/>
    <mergeCell ref="H265:L265"/>
    <mergeCell ref="M265:Q265"/>
    <mergeCell ref="D266:G266"/>
    <mergeCell ref="H266:L266"/>
    <mergeCell ref="D259:G259"/>
    <mergeCell ref="A227:C261"/>
    <mergeCell ref="D262:G262"/>
    <mergeCell ref="D253:G253"/>
    <mergeCell ref="H253:L253"/>
    <mergeCell ref="A285:F285"/>
    <mergeCell ref="A286:F286"/>
    <mergeCell ref="A287:F287"/>
    <mergeCell ref="D194:G194"/>
    <mergeCell ref="D195:G195"/>
    <mergeCell ref="D196:G196"/>
    <mergeCell ref="M232:Q232"/>
    <mergeCell ref="D233:G233"/>
    <mergeCell ref="D227:G227"/>
    <mergeCell ref="H227:L227"/>
    <mergeCell ref="M227:Q227"/>
    <mergeCell ref="D228:G228"/>
    <mergeCell ref="H228:L228"/>
    <mergeCell ref="M228:Q228"/>
    <mergeCell ref="D229:G229"/>
    <mergeCell ref="H229:L229"/>
    <mergeCell ref="M229:Q229"/>
    <mergeCell ref="H202:L202"/>
    <mergeCell ref="D212:G212"/>
    <mergeCell ref="M213:Q213"/>
    <mergeCell ref="H194:L194"/>
    <mergeCell ref="H195:L195"/>
    <mergeCell ref="D230:G230"/>
    <mergeCell ref="H230:L230"/>
    <mergeCell ref="D247:G247"/>
    <mergeCell ref="H247:L247"/>
    <mergeCell ref="M247:Q247"/>
    <mergeCell ref="D248:G248"/>
    <mergeCell ref="H248:L248"/>
    <mergeCell ref="M248:Q248"/>
    <mergeCell ref="M253:Q253"/>
    <mergeCell ref="M252:Q252"/>
    <mergeCell ref="D250:G250"/>
    <mergeCell ref="H250:L250"/>
    <mergeCell ref="M250:Q250"/>
    <mergeCell ref="M257:Q257"/>
    <mergeCell ref="D258:G258"/>
    <mergeCell ref="H258:L258"/>
    <mergeCell ref="M258:Q258"/>
    <mergeCell ref="D249:G249"/>
    <mergeCell ref="M242:Q242"/>
    <mergeCell ref="D243:G243"/>
    <mergeCell ref="H231:L231"/>
    <mergeCell ref="M231:Q231"/>
    <mergeCell ref="D240:G240"/>
    <mergeCell ref="H240:L240"/>
    <mergeCell ref="M240:Q240"/>
    <mergeCell ref="D241:G241"/>
    <mergeCell ref="H241:L241"/>
    <mergeCell ref="M241:Q241"/>
    <mergeCell ref="D238:G238"/>
    <mergeCell ref="H238:L238"/>
    <mergeCell ref="M238:Q238"/>
    <mergeCell ref="D239:G239"/>
    <mergeCell ref="H239:L239"/>
    <mergeCell ref="M239:Q239"/>
    <mergeCell ref="D236:G236"/>
    <mergeCell ref="H236:L236"/>
    <mergeCell ref="M236:Q236"/>
    <mergeCell ref="D235:G235"/>
    <mergeCell ref="H235:L235"/>
    <mergeCell ref="H233:L233"/>
    <mergeCell ref="H232:L232"/>
    <mergeCell ref="M233:Q233"/>
    <mergeCell ref="D200:G200"/>
    <mergeCell ref="D201:G201"/>
    <mergeCell ref="D202:G202"/>
    <mergeCell ref="D203:G203"/>
    <mergeCell ref="D204:G204"/>
    <mergeCell ref="A184:G184"/>
    <mergeCell ref="M185:Q185"/>
    <mergeCell ref="M186:Q186"/>
    <mergeCell ref="M187:Q187"/>
    <mergeCell ref="M188:Q188"/>
    <mergeCell ref="H190:L190"/>
    <mergeCell ref="M201:Q201"/>
    <mergeCell ref="M202:Q202"/>
    <mergeCell ref="M203:Q203"/>
    <mergeCell ref="M204:Q204"/>
    <mergeCell ref="H207:L207"/>
    <mergeCell ref="M205:Q205"/>
    <mergeCell ref="M206:Q206"/>
    <mergeCell ref="M207:Q207"/>
    <mergeCell ref="D188:G188"/>
    <mergeCell ref="D189:G189"/>
    <mergeCell ref="D190:G190"/>
    <mergeCell ref="D191:G191"/>
    <mergeCell ref="D192:G192"/>
    <mergeCell ref="A177:C181"/>
    <mergeCell ref="A182:Q182"/>
    <mergeCell ref="A183:Q183"/>
    <mergeCell ref="D169:G169"/>
    <mergeCell ref="D170:G170"/>
    <mergeCell ref="D171:G171"/>
    <mergeCell ref="D172:G172"/>
    <mergeCell ref="D173:G173"/>
    <mergeCell ref="D174:G174"/>
    <mergeCell ref="H181:L181"/>
    <mergeCell ref="H179:L179"/>
    <mergeCell ref="H180:L180"/>
    <mergeCell ref="H172:L172"/>
    <mergeCell ref="H173:L173"/>
    <mergeCell ref="H174:L174"/>
    <mergeCell ref="M179:Q179"/>
    <mergeCell ref="M180:Q180"/>
    <mergeCell ref="M177:Q177"/>
    <mergeCell ref="M178:Q178"/>
    <mergeCell ref="M169:Q169"/>
    <mergeCell ref="M170:Q170"/>
    <mergeCell ref="D177:G177"/>
    <mergeCell ref="D178:G178"/>
    <mergeCell ref="D179:G179"/>
    <mergeCell ref="M189:Q189"/>
    <mergeCell ref="M190:Q190"/>
    <mergeCell ref="M191:Q191"/>
    <mergeCell ref="M192:Q192"/>
    <mergeCell ref="M193:Q193"/>
    <mergeCell ref="M194:Q194"/>
    <mergeCell ref="D197:G197"/>
    <mergeCell ref="D198:G198"/>
    <mergeCell ref="D185:G185"/>
    <mergeCell ref="M181:Q181"/>
    <mergeCell ref="H203:L203"/>
    <mergeCell ref="H204:L204"/>
    <mergeCell ref="H197:L197"/>
    <mergeCell ref="H198:L198"/>
    <mergeCell ref="H199:L199"/>
    <mergeCell ref="H200:L200"/>
    <mergeCell ref="H201:L201"/>
    <mergeCell ref="D193:G193"/>
    <mergeCell ref="D180:G180"/>
    <mergeCell ref="H216:L216"/>
    <mergeCell ref="M209:Q209"/>
    <mergeCell ref="M210:Q210"/>
    <mergeCell ref="M211:Q211"/>
    <mergeCell ref="M212:Q212"/>
    <mergeCell ref="M208:Q208"/>
    <mergeCell ref="D186:G186"/>
    <mergeCell ref="D187:G187"/>
    <mergeCell ref="H185:L185"/>
    <mergeCell ref="H186:L186"/>
    <mergeCell ref="H187:L187"/>
    <mergeCell ref="H188:L188"/>
    <mergeCell ref="H189:L189"/>
    <mergeCell ref="H191:L191"/>
    <mergeCell ref="H192:L192"/>
    <mergeCell ref="H193:L193"/>
    <mergeCell ref="H196:L196"/>
    <mergeCell ref="D205:G205"/>
    <mergeCell ref="D206:G206"/>
    <mergeCell ref="D211:G211"/>
    <mergeCell ref="D199:G199"/>
    <mergeCell ref="H213:L213"/>
    <mergeCell ref="D210:G210"/>
    <mergeCell ref="H206:L206"/>
    <mergeCell ref="D181:G181"/>
    <mergeCell ref="M195:Q195"/>
    <mergeCell ref="M196:Q196"/>
    <mergeCell ref="M197:Q197"/>
    <mergeCell ref="M198:Q198"/>
    <mergeCell ref="M199:Q199"/>
    <mergeCell ref="M200:Q200"/>
    <mergeCell ref="M171:Q171"/>
    <mergeCell ref="M172:Q172"/>
    <mergeCell ref="M173:Q173"/>
    <mergeCell ref="M174:Q174"/>
    <mergeCell ref="M175:Q175"/>
    <mergeCell ref="M176:Q176"/>
    <mergeCell ref="M156:Q156"/>
    <mergeCell ref="M157:Q157"/>
    <mergeCell ref="M158:Q158"/>
    <mergeCell ref="M159:Q159"/>
    <mergeCell ref="M160:Q160"/>
    <mergeCell ref="M161:Q161"/>
    <mergeCell ref="M162:Q162"/>
    <mergeCell ref="M167:Q167"/>
    <mergeCell ref="M168:Q168"/>
    <mergeCell ref="D162:G162"/>
    <mergeCell ref="M163:Q163"/>
    <mergeCell ref="M164:Q164"/>
    <mergeCell ref="M165:Q165"/>
    <mergeCell ref="M166:Q166"/>
    <mergeCell ref="H160:L160"/>
    <mergeCell ref="H161:L161"/>
    <mergeCell ref="H162:L162"/>
    <mergeCell ref="H169:L169"/>
    <mergeCell ref="H170:L170"/>
    <mergeCell ref="H163:L163"/>
    <mergeCell ref="H164:L164"/>
    <mergeCell ref="H171:L171"/>
    <mergeCell ref="H165:L165"/>
    <mergeCell ref="H166:L166"/>
    <mergeCell ref="H167:L167"/>
    <mergeCell ref="H168:L168"/>
    <mergeCell ref="H157:L157"/>
    <mergeCell ref="A156:C176"/>
    <mergeCell ref="D163:G163"/>
    <mergeCell ref="D164:G164"/>
    <mergeCell ref="H175:L175"/>
    <mergeCell ref="H176:L176"/>
    <mergeCell ref="D175:G175"/>
    <mergeCell ref="D176:G176"/>
    <mergeCell ref="D165:G165"/>
    <mergeCell ref="D166:G166"/>
    <mergeCell ref="D167:G167"/>
    <mergeCell ref="D168:G168"/>
    <mergeCell ref="D151:G151"/>
    <mergeCell ref="H151:L151"/>
    <mergeCell ref="H158:L158"/>
    <mergeCell ref="H159:L159"/>
    <mergeCell ref="D156:G156"/>
    <mergeCell ref="D157:G157"/>
    <mergeCell ref="D158:G158"/>
    <mergeCell ref="D159:G159"/>
    <mergeCell ref="D160:G160"/>
    <mergeCell ref="D161:G161"/>
    <mergeCell ref="H177:L177"/>
    <mergeCell ref="H178:L178"/>
    <mergeCell ref="D146:G146"/>
    <mergeCell ref="H146:L146"/>
    <mergeCell ref="M146:Q146"/>
    <mergeCell ref="D147:G147"/>
    <mergeCell ref="H147:L147"/>
    <mergeCell ref="M147:Q147"/>
    <mergeCell ref="A142:Q142"/>
    <mergeCell ref="A144:C147"/>
    <mergeCell ref="D144:G144"/>
    <mergeCell ref="H144:L144"/>
    <mergeCell ref="M144:Q144"/>
    <mergeCell ref="D145:G145"/>
    <mergeCell ref="H145:L145"/>
    <mergeCell ref="M145:Q145"/>
    <mergeCell ref="M151:Q151"/>
    <mergeCell ref="A153:Q153"/>
    <mergeCell ref="A154:Q154"/>
    <mergeCell ref="H155:Q155"/>
    <mergeCell ref="A155:G155"/>
    <mergeCell ref="A148:C151"/>
    <mergeCell ref="D148:G148"/>
    <mergeCell ref="H148:L148"/>
    <mergeCell ref="M148:Q148"/>
    <mergeCell ref="D149:G149"/>
    <mergeCell ref="H149:L149"/>
    <mergeCell ref="M149:Q149"/>
    <mergeCell ref="D150:G150"/>
    <mergeCell ref="H150:L150"/>
    <mergeCell ref="M150:Q150"/>
    <mergeCell ref="H156:L156"/>
    <mergeCell ref="M134:Q134"/>
    <mergeCell ref="M135:Q135"/>
    <mergeCell ref="M136:Q136"/>
    <mergeCell ref="M137:Q137"/>
    <mergeCell ref="M138:Q138"/>
    <mergeCell ref="M139:Q139"/>
    <mergeCell ref="H141:L141"/>
    <mergeCell ref="H134:L134"/>
    <mergeCell ref="H135:L135"/>
    <mergeCell ref="H136:L136"/>
    <mergeCell ref="H137:L137"/>
    <mergeCell ref="H138:L138"/>
    <mergeCell ref="H139:L139"/>
    <mergeCell ref="D140:G140"/>
    <mergeCell ref="D141:G141"/>
    <mergeCell ref="A134:C137"/>
    <mergeCell ref="A138:C141"/>
    <mergeCell ref="D134:G134"/>
    <mergeCell ref="N83:Q83"/>
    <mergeCell ref="E116:Q116"/>
    <mergeCell ref="A116:D117"/>
    <mergeCell ref="A60:D60"/>
    <mergeCell ref="E60:J60"/>
    <mergeCell ref="K60:M60"/>
    <mergeCell ref="N60:Q60"/>
    <mergeCell ref="H140:L140"/>
    <mergeCell ref="M140:Q140"/>
    <mergeCell ref="M141:Q141"/>
    <mergeCell ref="A132:Q132"/>
    <mergeCell ref="A128:Q128"/>
    <mergeCell ref="A129:H129"/>
    <mergeCell ref="A130:H130"/>
    <mergeCell ref="A131:H131"/>
    <mergeCell ref="I131:Q131"/>
    <mergeCell ref="A133:G133"/>
    <mergeCell ref="H133:Q133"/>
    <mergeCell ref="A124:D124"/>
    <mergeCell ref="A126:Q126"/>
    <mergeCell ref="E124:K124"/>
    <mergeCell ref="E125:K125"/>
    <mergeCell ref="I129:Q129"/>
    <mergeCell ref="I130:Q130"/>
    <mergeCell ref="D135:G135"/>
    <mergeCell ref="D136:G136"/>
    <mergeCell ref="D137:G137"/>
    <mergeCell ref="D138:G138"/>
    <mergeCell ref="D139:G139"/>
    <mergeCell ref="E118:K118"/>
    <mergeCell ref="E119:K119"/>
    <mergeCell ref="E120:K120"/>
    <mergeCell ref="A11:D11"/>
    <mergeCell ref="I75:K75"/>
    <mergeCell ref="A113:Q113"/>
    <mergeCell ref="A46:D46"/>
    <mergeCell ref="A47:D47"/>
    <mergeCell ref="E46:J46"/>
    <mergeCell ref="A72:H72"/>
    <mergeCell ref="A73:H73"/>
    <mergeCell ref="A74:H74"/>
    <mergeCell ref="A69:Q69"/>
    <mergeCell ref="A70:Q70"/>
    <mergeCell ref="A71:H71"/>
    <mergeCell ref="A94:Q94"/>
    <mergeCell ref="E40:J40"/>
    <mergeCell ref="E41:J41"/>
    <mergeCell ref="E62:J62"/>
    <mergeCell ref="E63:J63"/>
    <mergeCell ref="E65:J65"/>
    <mergeCell ref="E58:J58"/>
    <mergeCell ref="E59:J59"/>
    <mergeCell ref="A58:D58"/>
    <mergeCell ref="A59:D59"/>
    <mergeCell ref="A62:D62"/>
    <mergeCell ref="A63:D63"/>
    <mergeCell ref="A65:D65"/>
    <mergeCell ref="A51:D51"/>
    <mergeCell ref="A52:D52"/>
    <mergeCell ref="K49:M49"/>
    <mergeCell ref="K50:M50"/>
    <mergeCell ref="K51:M51"/>
    <mergeCell ref="K52:M52"/>
    <mergeCell ref="K47:M47"/>
    <mergeCell ref="A1:Q1"/>
    <mergeCell ref="A152:Q152"/>
    <mergeCell ref="K17:M17"/>
    <mergeCell ref="E17:J17"/>
    <mergeCell ref="A48:D48"/>
    <mergeCell ref="E27:H27"/>
    <mergeCell ref="E28:H28"/>
    <mergeCell ref="E29:H29"/>
    <mergeCell ref="E30:H30"/>
    <mergeCell ref="A27:D27"/>
    <mergeCell ref="E42:J42"/>
    <mergeCell ref="D5:H5"/>
    <mergeCell ref="M3:Q3"/>
    <mergeCell ref="L80:M80"/>
    <mergeCell ref="M4:Q4"/>
    <mergeCell ref="N14:Q14"/>
    <mergeCell ref="N15:Q15"/>
    <mergeCell ref="N16:Q16"/>
    <mergeCell ref="N17:Q17"/>
    <mergeCell ref="A7:Q7"/>
    <mergeCell ref="A8:Q8"/>
    <mergeCell ref="A9:Q9"/>
    <mergeCell ref="A10:Q10"/>
    <mergeCell ref="N11:Q11"/>
    <mergeCell ref="N12:Q12"/>
    <mergeCell ref="N13:Q13"/>
    <mergeCell ref="A24:Q24"/>
    <mergeCell ref="A25:Q25"/>
    <mergeCell ref="A26:Q26"/>
    <mergeCell ref="N27:Q27"/>
    <mergeCell ref="K40:M40"/>
    <mergeCell ref="K41:M41"/>
    <mergeCell ref="A17:D17"/>
    <mergeCell ref="A19:D19"/>
    <mergeCell ref="E45:J45"/>
    <mergeCell ref="N29:Q29"/>
    <mergeCell ref="N30:Q30"/>
    <mergeCell ref="K48:M48"/>
    <mergeCell ref="E47:J47"/>
    <mergeCell ref="E48:J48"/>
    <mergeCell ref="E49:J49"/>
    <mergeCell ref="E50:J50"/>
    <mergeCell ref="E51:J51"/>
    <mergeCell ref="I79:K79"/>
    <mergeCell ref="I80:K80"/>
    <mergeCell ref="I81:K81"/>
    <mergeCell ref="I82:K82"/>
    <mergeCell ref="I83:K83"/>
    <mergeCell ref="N28:Q28"/>
    <mergeCell ref="A49:D49"/>
    <mergeCell ref="K42:M42"/>
    <mergeCell ref="K43:M43"/>
    <mergeCell ref="K44:M44"/>
    <mergeCell ref="K45:M45"/>
    <mergeCell ref="K46:M46"/>
    <mergeCell ref="N47:Q47"/>
    <mergeCell ref="N48:Q48"/>
    <mergeCell ref="N49:Q49"/>
    <mergeCell ref="N50:Q50"/>
    <mergeCell ref="N51:Q51"/>
    <mergeCell ref="N52:Q52"/>
    <mergeCell ref="N45:Q45"/>
    <mergeCell ref="N46:Q46"/>
    <mergeCell ref="N43:Q43"/>
    <mergeCell ref="A50:D50"/>
    <mergeCell ref="A40:D40"/>
    <mergeCell ref="A41:D41"/>
    <mergeCell ref="A42:D42"/>
    <mergeCell ref="A43:D43"/>
    <mergeCell ref="A75:H75"/>
    <mergeCell ref="A95:Q95"/>
    <mergeCell ref="A96:Q96"/>
    <mergeCell ref="D251:G251"/>
    <mergeCell ref="H251:L251"/>
    <mergeCell ref="H224:L224"/>
    <mergeCell ref="H208:L208"/>
    <mergeCell ref="D215:G215"/>
    <mergeCell ref="D216:G216"/>
    <mergeCell ref="D217:G217"/>
    <mergeCell ref="H214:L214"/>
    <mergeCell ref="H215:L215"/>
    <mergeCell ref="A80:H80"/>
    <mergeCell ref="H217:L217"/>
    <mergeCell ref="M214:Q214"/>
    <mergeCell ref="M215:Q215"/>
    <mergeCell ref="M216:Q216"/>
    <mergeCell ref="M217:Q217"/>
    <mergeCell ref="D209:G209"/>
    <mergeCell ref="D218:G218"/>
    <mergeCell ref="H223:L223"/>
    <mergeCell ref="L75:M75"/>
    <mergeCell ref="N44:Q44"/>
    <mergeCell ref="A44:D44"/>
    <mergeCell ref="A45:D45"/>
    <mergeCell ref="A115:Q115"/>
    <mergeCell ref="A83:H83"/>
    <mergeCell ref="A636:B636"/>
    <mergeCell ref="H631:J631"/>
    <mergeCell ref="K631:L631"/>
    <mergeCell ref="O636:Q636"/>
    <mergeCell ref="A637:Q637"/>
    <mergeCell ref="M633:N633"/>
    <mergeCell ref="O633:Q633"/>
    <mergeCell ref="A632:B632"/>
    <mergeCell ref="C632:D632"/>
    <mergeCell ref="M632:N632"/>
    <mergeCell ref="A630:B631"/>
    <mergeCell ref="C630:D631"/>
    <mergeCell ref="E630:L630"/>
    <mergeCell ref="M630:N631"/>
    <mergeCell ref="O630:Q631"/>
    <mergeCell ref="O632:Q632"/>
    <mergeCell ref="A633:B633"/>
    <mergeCell ref="C633:D633"/>
    <mergeCell ref="E31:H31"/>
    <mergeCell ref="N31:Q31"/>
    <mergeCell ref="A32:D32"/>
    <mergeCell ref="A33:D33"/>
    <mergeCell ref="A34:D34"/>
    <mergeCell ref="A35:D35"/>
    <mergeCell ref="E32:H32"/>
    <mergeCell ref="E33:H33"/>
    <mergeCell ref="E34:H34"/>
    <mergeCell ref="E35:H35"/>
    <mergeCell ref="N32:Q32"/>
    <mergeCell ref="N33:Q33"/>
    <mergeCell ref="N34:Q34"/>
    <mergeCell ref="N35:Q35"/>
    <mergeCell ref="E43:J43"/>
    <mergeCell ref="E44:J44"/>
    <mergeCell ref="A36:Q36"/>
    <mergeCell ref="H210:L210"/>
    <mergeCell ref="H211:L211"/>
    <mergeCell ref="H212:L212"/>
    <mergeCell ref="D261:G261"/>
    <mergeCell ref="H261:L261"/>
    <mergeCell ref="M261:Q261"/>
    <mergeCell ref="A546:B546"/>
    <mergeCell ref="M251:Q251"/>
    <mergeCell ref="M221:Q221"/>
    <mergeCell ref="M222:Q222"/>
    <mergeCell ref="C546:D546"/>
    <mergeCell ref="E546:G546"/>
    <mergeCell ref="H546:J546"/>
    <mergeCell ref="O541:Q541"/>
    <mergeCell ref="A542:B542"/>
    <mergeCell ref="C542:D542"/>
    <mergeCell ref="E542:G542"/>
    <mergeCell ref="H542:J542"/>
    <mergeCell ref="K542:L542"/>
    <mergeCell ref="D252:G252"/>
    <mergeCell ref="H252:L252"/>
    <mergeCell ref="A375:B375"/>
    <mergeCell ref="D375:E375"/>
    <mergeCell ref="G375:H375"/>
    <mergeCell ref="A539:B539"/>
    <mergeCell ref="A538:B538"/>
    <mergeCell ref="C538:D538"/>
    <mergeCell ref="E538:G538"/>
    <mergeCell ref="H538:J538"/>
    <mergeCell ref="K538:L538"/>
    <mergeCell ref="M538:N538"/>
    <mergeCell ref="A429:B431"/>
    <mergeCell ref="N61:Q61"/>
    <mergeCell ref="L76:M76"/>
    <mergeCell ref="N76:Q76"/>
    <mergeCell ref="M219:Q219"/>
    <mergeCell ref="M220:Q220"/>
    <mergeCell ref="A220:C224"/>
    <mergeCell ref="A225:Q225"/>
    <mergeCell ref="A226:G226"/>
    <mergeCell ref="D219:G219"/>
    <mergeCell ref="D220:G220"/>
    <mergeCell ref="D221:G221"/>
    <mergeCell ref="D222:G222"/>
    <mergeCell ref="A67:Q67"/>
    <mergeCell ref="A68:Q68"/>
    <mergeCell ref="L71:M71"/>
    <mergeCell ref="L72:M72"/>
    <mergeCell ref="N71:Q71"/>
    <mergeCell ref="N72:Q72"/>
    <mergeCell ref="N73:Q73"/>
    <mergeCell ref="N74:Q74"/>
    <mergeCell ref="A78:Q78"/>
    <mergeCell ref="A79:H79"/>
    <mergeCell ref="L79:M79"/>
    <mergeCell ref="N79:Q79"/>
    <mergeCell ref="H220:L220"/>
    <mergeCell ref="H221:L221"/>
    <mergeCell ref="H222:L222"/>
    <mergeCell ref="D214:G214"/>
    <mergeCell ref="D208:G208"/>
    <mergeCell ref="H205:L205"/>
    <mergeCell ref="D213:G213"/>
    <mergeCell ref="H209:L209"/>
    <mergeCell ref="E456:Q456"/>
    <mergeCell ref="A456:D456"/>
    <mergeCell ref="E447:Q447"/>
    <mergeCell ref="A447:D447"/>
    <mergeCell ref="A448:D448"/>
    <mergeCell ref="A449:D449"/>
    <mergeCell ref="M218:Q218"/>
    <mergeCell ref="H243:L243"/>
    <mergeCell ref="M243:Q243"/>
    <mergeCell ref="O538:Q538"/>
    <mergeCell ref="C539:D539"/>
    <mergeCell ref="E539:G539"/>
    <mergeCell ref="H539:J539"/>
    <mergeCell ref="K539:L539"/>
    <mergeCell ref="M539:N539"/>
    <mergeCell ref="O539:Q539"/>
    <mergeCell ref="D223:G223"/>
    <mergeCell ref="D224:G224"/>
    <mergeCell ref="M223:Q223"/>
    <mergeCell ref="M235:Q235"/>
    <mergeCell ref="D232:G232"/>
    <mergeCell ref="D234:G234"/>
    <mergeCell ref="H234:L234"/>
    <mergeCell ref="M234:Q234"/>
    <mergeCell ref="M224:Q224"/>
    <mergeCell ref="H219:L219"/>
    <mergeCell ref="A432:B434"/>
    <mergeCell ref="F446:Q446"/>
    <mergeCell ref="A435:B440"/>
    <mergeCell ref="D237:G237"/>
    <mergeCell ref="H237:L237"/>
    <mergeCell ref="M237:Q237"/>
    <mergeCell ref="R6:Z10"/>
    <mergeCell ref="A86:Q86"/>
    <mergeCell ref="A87:H87"/>
    <mergeCell ref="I87:K87"/>
    <mergeCell ref="L123:Q123"/>
    <mergeCell ref="L124:Q124"/>
    <mergeCell ref="L125:Q125"/>
    <mergeCell ref="D260:G260"/>
    <mergeCell ref="H260:L260"/>
    <mergeCell ref="M260:Q260"/>
    <mergeCell ref="H184:Q184"/>
    <mergeCell ref="I76:K76"/>
    <mergeCell ref="N75:Q75"/>
    <mergeCell ref="H249:L249"/>
    <mergeCell ref="M249:Q249"/>
    <mergeCell ref="D207:G207"/>
    <mergeCell ref="A441:Q441"/>
    <mergeCell ref="H430:J430"/>
    <mergeCell ref="K430:L430"/>
    <mergeCell ref="M430:N430"/>
    <mergeCell ref="O430:Q430"/>
    <mergeCell ref="C440:D440"/>
    <mergeCell ref="A55:Q55"/>
    <mergeCell ref="A56:Q56"/>
    <mergeCell ref="A57:Q57"/>
    <mergeCell ref="N58:Q58"/>
    <mergeCell ref="N59:Q59"/>
    <mergeCell ref="N62:Q62"/>
    <mergeCell ref="L73:M73"/>
    <mergeCell ref="L74:M74"/>
    <mergeCell ref="N63:Q63"/>
    <mergeCell ref="N65:Q65"/>
    <mergeCell ref="A31:D31"/>
    <mergeCell ref="A30:D30"/>
    <mergeCell ref="A18:D18"/>
    <mergeCell ref="E18:J18"/>
    <mergeCell ref="K18:M18"/>
    <mergeCell ref="N18:Q18"/>
    <mergeCell ref="E19:Q19"/>
    <mergeCell ref="H259:L259"/>
    <mergeCell ref="M259:Q259"/>
    <mergeCell ref="M377:N377"/>
    <mergeCell ref="D378:E378"/>
    <mergeCell ref="G378:H378"/>
    <mergeCell ref="J378:K378"/>
    <mergeCell ref="M378:N378"/>
    <mergeCell ref="M230:Q230"/>
    <mergeCell ref="D231:G231"/>
    <mergeCell ref="U13:X13"/>
    <mergeCell ref="U14:X14"/>
    <mergeCell ref="U15:X15"/>
    <mergeCell ref="U16:X16"/>
    <mergeCell ref="U17:X17"/>
    <mergeCell ref="U18:X18"/>
    <mergeCell ref="U19:X19"/>
    <mergeCell ref="A61:D61"/>
    <mergeCell ref="E61:J61"/>
    <mergeCell ref="K61:M61"/>
    <mergeCell ref="A76:H76"/>
    <mergeCell ref="K58:M58"/>
    <mergeCell ref="K59:M59"/>
    <mergeCell ref="K62:M62"/>
    <mergeCell ref="K63:M63"/>
    <mergeCell ref="K65:M65"/>
    <mergeCell ref="E541:G541"/>
    <mergeCell ref="H541:J541"/>
    <mergeCell ref="K541:L541"/>
    <mergeCell ref="M541:N541"/>
    <mergeCell ref="E543:G543"/>
    <mergeCell ref="H543:J543"/>
    <mergeCell ref="K543:L543"/>
    <mergeCell ref="A384:B384"/>
    <mergeCell ref="D384:E384"/>
    <mergeCell ref="R2:Z3"/>
    <mergeCell ref="A66:Q66"/>
    <mergeCell ref="M2:Q2"/>
    <mergeCell ref="A3:C3"/>
    <mergeCell ref="A2:C2"/>
    <mergeCell ref="E11:J11"/>
    <mergeCell ref="E14:J14"/>
    <mergeCell ref="E15:J15"/>
    <mergeCell ref="E16:J16"/>
    <mergeCell ref="K11:M11"/>
    <mergeCell ref="K12:M12"/>
    <mergeCell ref="K13:M13"/>
    <mergeCell ref="A12:D12"/>
    <mergeCell ref="A13:D13"/>
    <mergeCell ref="A14:D14"/>
    <mergeCell ref="A15:D15"/>
    <mergeCell ref="A16:D16"/>
    <mergeCell ref="D2:H2"/>
    <mergeCell ref="D3:H3"/>
    <mergeCell ref="A4:C4"/>
    <mergeCell ref="A5:C5"/>
    <mergeCell ref="A37:Q37"/>
    <mergeCell ref="E52:J52"/>
    <mergeCell ref="O551:Q551"/>
    <mergeCell ref="A547:Q547"/>
    <mergeCell ref="A548:G548"/>
    <mergeCell ref="H548:Q548"/>
    <mergeCell ref="A549:B549"/>
    <mergeCell ref="C549:D549"/>
    <mergeCell ref="E549:G549"/>
    <mergeCell ref="H549:J549"/>
    <mergeCell ref="K549:L549"/>
    <mergeCell ref="M549:N549"/>
    <mergeCell ref="O549:Q549"/>
    <mergeCell ref="A551:B551"/>
    <mergeCell ref="C551:D551"/>
    <mergeCell ref="E551:G551"/>
    <mergeCell ref="C553:D553"/>
    <mergeCell ref="E553:G553"/>
    <mergeCell ref="H226:Q226"/>
    <mergeCell ref="A540:B540"/>
    <mergeCell ref="C540:D540"/>
    <mergeCell ref="E540:G540"/>
    <mergeCell ref="H540:J540"/>
    <mergeCell ref="K540:L540"/>
    <mergeCell ref="M540:N540"/>
    <mergeCell ref="O540:Q540"/>
    <mergeCell ref="A545:B545"/>
    <mergeCell ref="C545:D545"/>
    <mergeCell ref="E545:G545"/>
    <mergeCell ref="H545:J545"/>
    <mergeCell ref="K545:L545"/>
    <mergeCell ref="M545:N545"/>
    <mergeCell ref="O545:Q545"/>
    <mergeCell ref="M542:N542"/>
    <mergeCell ref="N92:Q92"/>
    <mergeCell ref="L87:M87"/>
    <mergeCell ref="N87:Q87"/>
    <mergeCell ref="A88:H88"/>
    <mergeCell ref="I88:K88"/>
    <mergeCell ref="L88:M88"/>
    <mergeCell ref="N88:Q88"/>
    <mergeCell ref="A89:H89"/>
    <mergeCell ref="I89:K89"/>
    <mergeCell ref="L89:M89"/>
    <mergeCell ref="N89:Q89"/>
    <mergeCell ref="A90:H90"/>
    <mergeCell ref="I90:K90"/>
    <mergeCell ref="L90:M90"/>
    <mergeCell ref="N90:Q90"/>
    <mergeCell ref="K546:L546"/>
    <mergeCell ref="M546:N546"/>
    <mergeCell ref="O546:Q546"/>
    <mergeCell ref="A544:B544"/>
    <mergeCell ref="C544:D544"/>
    <mergeCell ref="E544:G544"/>
    <mergeCell ref="H544:J544"/>
    <mergeCell ref="K544:L544"/>
    <mergeCell ref="O544:Q544"/>
    <mergeCell ref="A543:B543"/>
    <mergeCell ref="H218:L218"/>
    <mergeCell ref="A541:B541"/>
    <mergeCell ref="M543:N543"/>
    <mergeCell ref="O543:Q543"/>
    <mergeCell ref="M544:N544"/>
    <mergeCell ref="O542:Q542"/>
    <mergeCell ref="C541:D541"/>
    <mergeCell ref="A20:Q23"/>
    <mergeCell ref="A53:Q54"/>
    <mergeCell ref="L399:N399"/>
    <mergeCell ref="A370:Q370"/>
    <mergeCell ref="A371:B372"/>
    <mergeCell ref="C371:E371"/>
    <mergeCell ref="F371:H371"/>
    <mergeCell ref="I371:K371"/>
    <mergeCell ref="L371:N371"/>
    <mergeCell ref="D372:E372"/>
    <mergeCell ref="G372:H372"/>
    <mergeCell ref="J372:K372"/>
    <mergeCell ref="M372:N372"/>
    <mergeCell ref="A373:B373"/>
    <mergeCell ref="D373:E373"/>
    <mergeCell ref="G373:H373"/>
    <mergeCell ref="J373:K373"/>
    <mergeCell ref="M373:N373"/>
    <mergeCell ref="A374:B374"/>
    <mergeCell ref="D374:E374"/>
    <mergeCell ref="G374:H374"/>
    <mergeCell ref="J374:K374"/>
    <mergeCell ref="M374:N374"/>
    <mergeCell ref="N77:Q77"/>
    <mergeCell ref="A84:H84"/>
    <mergeCell ref="I84:K84"/>
    <mergeCell ref="L84:M84"/>
    <mergeCell ref="N84:Q84"/>
    <mergeCell ref="A85:H85"/>
    <mergeCell ref="I85:K85"/>
    <mergeCell ref="L85:M85"/>
    <mergeCell ref="N85:Q85"/>
    <mergeCell ref="A77:H77"/>
    <mergeCell ref="I77:K77"/>
    <mergeCell ref="L77:M77"/>
    <mergeCell ref="J380:K380"/>
    <mergeCell ref="M380:N380"/>
    <mergeCell ref="A381:B381"/>
    <mergeCell ref="D381:E381"/>
    <mergeCell ref="G381:H381"/>
    <mergeCell ref="J381:K381"/>
    <mergeCell ref="M381:N381"/>
    <mergeCell ref="A382:B382"/>
    <mergeCell ref="D382:E382"/>
    <mergeCell ref="G382:H382"/>
    <mergeCell ref="J382:K382"/>
    <mergeCell ref="M382:N382"/>
    <mergeCell ref="A383:B383"/>
    <mergeCell ref="D383:E383"/>
    <mergeCell ref="G383:H383"/>
    <mergeCell ref="J383:K383"/>
    <mergeCell ref="M383:N383"/>
    <mergeCell ref="A91:H91"/>
    <mergeCell ref="I91:K91"/>
    <mergeCell ref="L91:M91"/>
    <mergeCell ref="N91:Q91"/>
    <mergeCell ref="L83:M83"/>
    <mergeCell ref="A93:H93"/>
    <mergeCell ref="I93:K93"/>
    <mergeCell ref="L93:M93"/>
    <mergeCell ref="N93:Q93"/>
    <mergeCell ref="A92:H92"/>
    <mergeCell ref="I92:K92"/>
    <mergeCell ref="L92:M92"/>
    <mergeCell ref="G384:H384"/>
    <mergeCell ref="J384:K384"/>
    <mergeCell ref="M384:N384"/>
    <mergeCell ref="A385:B385"/>
    <mergeCell ref="D385:E385"/>
    <mergeCell ref="G385:H385"/>
    <mergeCell ref="J385:K385"/>
    <mergeCell ref="M385:N385"/>
    <mergeCell ref="A386:B386"/>
    <mergeCell ref="D386:E386"/>
    <mergeCell ref="G386:H386"/>
    <mergeCell ref="J386:K386"/>
    <mergeCell ref="M386:N386"/>
    <mergeCell ref="A387:B387"/>
    <mergeCell ref="D387:E387"/>
    <mergeCell ref="G387:H387"/>
    <mergeCell ref="J387:K387"/>
    <mergeCell ref="M387:N387"/>
    <mergeCell ref="A388:B388"/>
    <mergeCell ref="D388:E388"/>
    <mergeCell ref="G388:H388"/>
    <mergeCell ref="J388:K388"/>
    <mergeCell ref="M388:N388"/>
    <mergeCell ref="A389:B389"/>
    <mergeCell ref="D389:E389"/>
    <mergeCell ref="G389:H389"/>
    <mergeCell ref="J389:K389"/>
    <mergeCell ref="M389:N389"/>
    <mergeCell ref="A390:B390"/>
    <mergeCell ref="D390:E390"/>
    <mergeCell ref="G390:H390"/>
    <mergeCell ref="J390:K390"/>
    <mergeCell ref="M390:N390"/>
    <mergeCell ref="A391:B391"/>
    <mergeCell ref="D391:E391"/>
    <mergeCell ref="G391:H391"/>
    <mergeCell ref="J391:K391"/>
    <mergeCell ref="M391:N391"/>
    <mergeCell ref="A392:B392"/>
    <mergeCell ref="D392:E392"/>
    <mergeCell ref="G392:H392"/>
    <mergeCell ref="J392:K392"/>
    <mergeCell ref="M392:N392"/>
    <mergeCell ref="A393:B393"/>
    <mergeCell ref="D393:E393"/>
    <mergeCell ref="G393:H393"/>
    <mergeCell ref="J393:K393"/>
    <mergeCell ref="M393:N393"/>
    <mergeCell ref="A394:B394"/>
    <mergeCell ref="D394:E394"/>
    <mergeCell ref="G394:H394"/>
    <mergeCell ref="J394:K394"/>
    <mergeCell ref="M394:N394"/>
    <mergeCell ref="A395:B395"/>
    <mergeCell ref="D395:E395"/>
    <mergeCell ref="G395:H395"/>
    <mergeCell ref="J395:K395"/>
    <mergeCell ref="M395:N395"/>
    <mergeCell ref="A396:B396"/>
    <mergeCell ref="D396:E396"/>
    <mergeCell ref="G396:H396"/>
    <mergeCell ref="J396:K396"/>
    <mergeCell ref="M396:N396"/>
    <mergeCell ref="A397:B397"/>
    <mergeCell ref="C397:E397"/>
    <mergeCell ref="F397:H397"/>
    <mergeCell ref="I397:K397"/>
    <mergeCell ref="L397:N397"/>
    <mergeCell ref="A561:B561"/>
    <mergeCell ref="C561:D561"/>
    <mergeCell ref="E561:G561"/>
    <mergeCell ref="H561:J561"/>
    <mergeCell ref="K561:L561"/>
    <mergeCell ref="M561:N561"/>
    <mergeCell ref="O561:Q561"/>
    <mergeCell ref="A468:I468"/>
    <mergeCell ref="A467:I467"/>
    <mergeCell ref="A497:I497"/>
    <mergeCell ref="A496:I496"/>
    <mergeCell ref="K555:L555"/>
    <mergeCell ref="M555:N555"/>
    <mergeCell ref="O555:Q555"/>
    <mergeCell ref="A555:B555"/>
    <mergeCell ref="C555:D555"/>
    <mergeCell ref="K552:L552"/>
    <mergeCell ref="M552:N552"/>
    <mergeCell ref="O552:Q552"/>
    <mergeCell ref="A553:B553"/>
    <mergeCell ref="K551:L551"/>
    <mergeCell ref="M551:N551"/>
    <mergeCell ref="A570:Q570"/>
    <mergeCell ref="C556:D556"/>
    <mergeCell ref="E556:G556"/>
    <mergeCell ref="H556:J556"/>
    <mergeCell ref="K556:L556"/>
    <mergeCell ref="M556:N556"/>
    <mergeCell ref="O556:Q556"/>
    <mergeCell ref="A699:B699"/>
    <mergeCell ref="C699:G699"/>
    <mergeCell ref="H699:L699"/>
    <mergeCell ref="M699:Q699"/>
    <mergeCell ref="A700:B700"/>
    <mergeCell ref="C700:G700"/>
    <mergeCell ref="H700:L700"/>
    <mergeCell ref="M700:Q700"/>
    <mergeCell ref="A583:Q587"/>
    <mergeCell ref="K656:L656"/>
    <mergeCell ref="H656:J656"/>
    <mergeCell ref="H655:J655"/>
    <mergeCell ref="K614:L614"/>
    <mergeCell ref="K615:L615"/>
    <mergeCell ref="K616:L616"/>
    <mergeCell ref="H632:J632"/>
    <mergeCell ref="H633:J633"/>
    <mergeCell ref="H634:J634"/>
    <mergeCell ref="H635:J635"/>
    <mergeCell ref="H636:J636"/>
    <mergeCell ref="K632:L632"/>
    <mergeCell ref="K633:L633"/>
    <mergeCell ref="K634:L634"/>
    <mergeCell ref="K635:L635"/>
    <mergeCell ref="A619:Q627"/>
    <mergeCell ref="A695:Q695"/>
    <mergeCell ref="A696:Q696"/>
    <mergeCell ref="A698:B698"/>
    <mergeCell ref="C698:G698"/>
    <mergeCell ref="H698:L698"/>
    <mergeCell ref="M698:Q698"/>
    <mergeCell ref="A701:B701"/>
    <mergeCell ref="C701:G701"/>
    <mergeCell ref="H701:L701"/>
    <mergeCell ref="M701:Q701"/>
    <mergeCell ref="A702:B702"/>
    <mergeCell ref="C702:G702"/>
    <mergeCell ref="H702:L702"/>
    <mergeCell ref="M702:Q702"/>
    <mergeCell ref="A703:B703"/>
    <mergeCell ref="C703:G703"/>
    <mergeCell ref="H703:L703"/>
    <mergeCell ref="M703:Q703"/>
    <mergeCell ref="A704:B704"/>
    <mergeCell ref="C704:G704"/>
    <mergeCell ref="H704:L704"/>
    <mergeCell ref="M704:Q704"/>
    <mergeCell ref="A705:B705"/>
    <mergeCell ref="C705:G705"/>
    <mergeCell ref="H705:L705"/>
    <mergeCell ref="M705:Q705"/>
    <mergeCell ref="A706:B706"/>
    <mergeCell ref="C706:G706"/>
    <mergeCell ref="H706:L706"/>
    <mergeCell ref="M706:Q706"/>
    <mergeCell ref="A707:B707"/>
    <mergeCell ref="C707:G707"/>
    <mergeCell ref="H707:L707"/>
    <mergeCell ref="M707:Q707"/>
    <mergeCell ref="A708:Q708"/>
    <mergeCell ref="A710:B710"/>
    <mergeCell ref="C710:G710"/>
    <mergeCell ref="H710:L710"/>
    <mergeCell ref="M710:Q710"/>
    <mergeCell ref="A711:B711"/>
    <mergeCell ref="C711:G711"/>
    <mergeCell ref="H711:L711"/>
    <mergeCell ref="M711:Q711"/>
    <mergeCell ref="A712:B712"/>
    <mergeCell ref="C712:G712"/>
    <mergeCell ref="H712:L712"/>
    <mergeCell ref="M712:Q712"/>
    <mergeCell ref="A713:B713"/>
    <mergeCell ref="C713:G713"/>
    <mergeCell ref="H713:L713"/>
    <mergeCell ref="M713:Q713"/>
    <mergeCell ref="A714:B714"/>
    <mergeCell ref="C714:G714"/>
    <mergeCell ref="H714:L714"/>
    <mergeCell ref="M714:Q714"/>
    <mergeCell ref="A715:B715"/>
    <mergeCell ref="C715:G715"/>
    <mergeCell ref="H715:L715"/>
    <mergeCell ref="M715:Q715"/>
    <mergeCell ref="A716:B716"/>
    <mergeCell ref="C716:G716"/>
    <mergeCell ref="H716:L716"/>
    <mergeCell ref="M716:Q716"/>
    <mergeCell ref="A726:Q726"/>
    <mergeCell ref="A717:B717"/>
    <mergeCell ref="C717:G717"/>
    <mergeCell ref="H717:L717"/>
    <mergeCell ref="M717:Q717"/>
    <mergeCell ref="A718:B718"/>
    <mergeCell ref="C718:G718"/>
    <mergeCell ref="H718:L718"/>
    <mergeCell ref="M718:Q718"/>
    <mergeCell ref="A719:B719"/>
    <mergeCell ref="C719:G719"/>
    <mergeCell ref="H719:L719"/>
    <mergeCell ref="M719:Q719"/>
    <mergeCell ref="A720:B720"/>
    <mergeCell ref="C720:G720"/>
    <mergeCell ref="H720:L720"/>
    <mergeCell ref="M720:Q720"/>
    <mergeCell ref="A721:B721"/>
    <mergeCell ref="C721:G721"/>
    <mergeCell ref="H721:L721"/>
    <mergeCell ref="M721:Q721"/>
    <mergeCell ref="A727:Q727"/>
    <mergeCell ref="A728:B729"/>
    <mergeCell ref="C728:D729"/>
    <mergeCell ref="E728:L728"/>
    <mergeCell ref="M728:N729"/>
    <mergeCell ref="O728:Q729"/>
    <mergeCell ref="E729:G729"/>
    <mergeCell ref="H729:J729"/>
    <mergeCell ref="K729:L729"/>
    <mergeCell ref="A730:B730"/>
    <mergeCell ref="C730:D730"/>
    <mergeCell ref="E730:G730"/>
    <mergeCell ref="H730:J730"/>
    <mergeCell ref="K730:L730"/>
    <mergeCell ref="M730:N730"/>
    <mergeCell ref="O730:Q730"/>
    <mergeCell ref="A722:B722"/>
    <mergeCell ref="C722:G722"/>
    <mergeCell ref="H722:L722"/>
    <mergeCell ref="M722:Q722"/>
    <mergeCell ref="A723:B723"/>
    <mergeCell ref="C723:G723"/>
    <mergeCell ref="H723:L723"/>
    <mergeCell ref="M723:Q723"/>
    <mergeCell ref="A724:B724"/>
    <mergeCell ref="C724:G724"/>
    <mergeCell ref="H724:L724"/>
    <mergeCell ref="M724:Q724"/>
    <mergeCell ref="A725:B725"/>
    <mergeCell ref="C725:G725"/>
    <mergeCell ref="H725:L725"/>
    <mergeCell ref="M725:Q725"/>
    <mergeCell ref="A731:B731"/>
    <mergeCell ref="C731:D731"/>
    <mergeCell ref="E731:G731"/>
    <mergeCell ref="H731:J731"/>
    <mergeCell ref="K731:L731"/>
    <mergeCell ref="M731:N731"/>
    <mergeCell ref="O731:Q731"/>
    <mergeCell ref="A732:B732"/>
    <mergeCell ref="C732:D732"/>
    <mergeCell ref="E732:G732"/>
    <mergeCell ref="H732:J732"/>
    <mergeCell ref="K732:L732"/>
    <mergeCell ref="M732:N732"/>
    <mergeCell ref="O732:Q732"/>
    <mergeCell ref="A733:B733"/>
    <mergeCell ref="C733:D733"/>
    <mergeCell ref="E733:G733"/>
    <mergeCell ref="H733:J733"/>
    <mergeCell ref="K733:L733"/>
    <mergeCell ref="M733:N733"/>
    <mergeCell ref="O733:Q733"/>
    <mergeCell ref="A734:B734"/>
    <mergeCell ref="C734:D734"/>
    <mergeCell ref="E734:G734"/>
    <mergeCell ref="H734:J734"/>
    <mergeCell ref="K734:L734"/>
    <mergeCell ref="M734:N734"/>
    <mergeCell ref="O734:Q734"/>
    <mergeCell ref="A735:Q735"/>
    <mergeCell ref="A736:B736"/>
    <mergeCell ref="C736:D736"/>
    <mergeCell ref="E736:G736"/>
    <mergeCell ref="H736:J736"/>
    <mergeCell ref="K736:L736"/>
    <mergeCell ref="M736:N736"/>
    <mergeCell ref="P736:Q736"/>
    <mergeCell ref="A737:Q745"/>
    <mergeCell ref="B746:Q746"/>
    <mergeCell ref="A747:Q747"/>
    <mergeCell ref="A748:B749"/>
    <mergeCell ref="C748:D749"/>
    <mergeCell ref="E748:L748"/>
    <mergeCell ref="M748:N749"/>
    <mergeCell ref="O748:Q749"/>
    <mergeCell ref="E749:G749"/>
    <mergeCell ref="H749:J749"/>
    <mergeCell ref="K749:L749"/>
    <mergeCell ref="A750:B750"/>
    <mergeCell ref="C750:D750"/>
    <mergeCell ref="E750:G750"/>
    <mergeCell ref="H750:J750"/>
    <mergeCell ref="K750:L750"/>
    <mergeCell ref="M750:N750"/>
    <mergeCell ref="O750:Q750"/>
    <mergeCell ref="A751:B751"/>
    <mergeCell ref="C751:D751"/>
    <mergeCell ref="E751:G751"/>
    <mergeCell ref="H751:J751"/>
    <mergeCell ref="K751:L751"/>
    <mergeCell ref="M751:N751"/>
    <mergeCell ref="O751:Q751"/>
    <mergeCell ref="A752:B752"/>
    <mergeCell ref="C752:D752"/>
    <mergeCell ref="E752:G752"/>
    <mergeCell ref="H752:J752"/>
    <mergeCell ref="K752:L752"/>
    <mergeCell ref="M752:N752"/>
    <mergeCell ref="O752:Q752"/>
    <mergeCell ref="A753:B753"/>
    <mergeCell ref="C753:D753"/>
    <mergeCell ref="E753:G753"/>
    <mergeCell ref="H753:J753"/>
    <mergeCell ref="K753:L753"/>
    <mergeCell ref="M753:N753"/>
    <mergeCell ref="O753:Q753"/>
    <mergeCell ref="A754:B754"/>
    <mergeCell ref="C754:D754"/>
    <mergeCell ref="E754:G754"/>
    <mergeCell ref="H754:J754"/>
    <mergeCell ref="K754:L754"/>
    <mergeCell ref="M754:N754"/>
    <mergeCell ref="O754:Q754"/>
    <mergeCell ref="A755:Q755"/>
    <mergeCell ref="A756:B756"/>
    <mergeCell ref="C756:D756"/>
    <mergeCell ref="E756:G756"/>
    <mergeCell ref="H756:J756"/>
    <mergeCell ref="K756:L756"/>
    <mergeCell ref="M756:N756"/>
    <mergeCell ref="P756:Q756"/>
    <mergeCell ref="A757:Q765"/>
    <mergeCell ref="B766:Q766"/>
    <mergeCell ref="A767:Q767"/>
    <mergeCell ref="A768:B769"/>
    <mergeCell ref="C768:D769"/>
    <mergeCell ref="E768:L768"/>
    <mergeCell ref="M768:N769"/>
    <mergeCell ref="O768:Q769"/>
    <mergeCell ref="E769:G769"/>
    <mergeCell ref="H769:J769"/>
    <mergeCell ref="K769:L769"/>
    <mergeCell ref="A770:B770"/>
    <mergeCell ref="C770:D770"/>
    <mergeCell ref="E770:G770"/>
    <mergeCell ref="H770:J770"/>
    <mergeCell ref="K770:L770"/>
    <mergeCell ref="M770:N770"/>
    <mergeCell ref="O770:Q770"/>
    <mergeCell ref="A771:B771"/>
    <mergeCell ref="C771:D771"/>
    <mergeCell ref="E771:G771"/>
    <mergeCell ref="H771:J771"/>
    <mergeCell ref="K771:L771"/>
    <mergeCell ref="M771:N771"/>
    <mergeCell ref="O771:Q771"/>
    <mergeCell ref="A772:B772"/>
    <mergeCell ref="C772:D772"/>
    <mergeCell ref="E772:G772"/>
    <mergeCell ref="H772:J772"/>
    <mergeCell ref="K772:L772"/>
    <mergeCell ref="M772:N772"/>
    <mergeCell ref="O772:Q772"/>
    <mergeCell ref="A773:B773"/>
    <mergeCell ref="C773:D773"/>
    <mergeCell ref="E773:G773"/>
    <mergeCell ref="H773:J773"/>
    <mergeCell ref="K773:L773"/>
    <mergeCell ref="M773:N773"/>
    <mergeCell ref="O773:Q773"/>
    <mergeCell ref="A774:B774"/>
    <mergeCell ref="C774:D774"/>
    <mergeCell ref="E774:G774"/>
    <mergeCell ref="H774:J774"/>
    <mergeCell ref="K774:L774"/>
    <mergeCell ref="M774:N774"/>
    <mergeCell ref="O774:Q774"/>
    <mergeCell ref="A775:Q775"/>
    <mergeCell ref="A776:B776"/>
    <mergeCell ref="C776:D776"/>
    <mergeCell ref="E776:G776"/>
    <mergeCell ref="H776:J776"/>
    <mergeCell ref="K776:L776"/>
    <mergeCell ref="M776:N776"/>
    <mergeCell ref="P776:Q776"/>
    <mergeCell ref="A777:Q785"/>
    <mergeCell ref="B786:Q786"/>
    <mergeCell ref="A787:Q787"/>
    <mergeCell ref="A788:Q788"/>
    <mergeCell ref="A789:B789"/>
    <mergeCell ref="C789:G789"/>
    <mergeCell ref="H789:L789"/>
    <mergeCell ref="M789:Q789"/>
    <mergeCell ref="A790:B790"/>
    <mergeCell ref="C790:G790"/>
    <mergeCell ref="H790:L790"/>
    <mergeCell ref="M790:Q790"/>
    <mergeCell ref="A791:B791"/>
    <mergeCell ref="C791:G791"/>
    <mergeCell ref="H791:L791"/>
    <mergeCell ref="M791:Q791"/>
    <mergeCell ref="A792:B792"/>
    <mergeCell ref="C792:G792"/>
    <mergeCell ref="H792:L792"/>
    <mergeCell ref="M792:Q792"/>
    <mergeCell ref="I806:K806"/>
    <mergeCell ref="A793:B793"/>
    <mergeCell ref="C793:G793"/>
    <mergeCell ref="H793:L793"/>
    <mergeCell ref="M793:Q793"/>
    <mergeCell ref="A794:B794"/>
    <mergeCell ref="C794:G794"/>
    <mergeCell ref="H794:L794"/>
    <mergeCell ref="M794:Q794"/>
    <mergeCell ref="A795:B795"/>
    <mergeCell ref="C795:G795"/>
    <mergeCell ref="H795:L795"/>
    <mergeCell ref="M795:Q795"/>
    <mergeCell ref="A796:B796"/>
    <mergeCell ref="C796:G796"/>
    <mergeCell ref="H796:L796"/>
    <mergeCell ref="M796:Q796"/>
    <mergeCell ref="A797:B797"/>
    <mergeCell ref="C797:G797"/>
    <mergeCell ref="H797:L797"/>
    <mergeCell ref="M797:Q797"/>
    <mergeCell ref="A807:B807"/>
    <mergeCell ref="C807:E807"/>
    <mergeCell ref="F807:H807"/>
    <mergeCell ref="I807:K807"/>
    <mergeCell ref="A808:B809"/>
    <mergeCell ref="C808:E809"/>
    <mergeCell ref="F808:H809"/>
    <mergeCell ref="I808:K809"/>
    <mergeCell ref="A810:B810"/>
    <mergeCell ref="C810:E810"/>
    <mergeCell ref="F810:H810"/>
    <mergeCell ref="I810:K810"/>
    <mergeCell ref="A185:C208"/>
    <mergeCell ref="A209:C219"/>
    <mergeCell ref="A314:Q314"/>
    <mergeCell ref="A798:B798"/>
    <mergeCell ref="C798:G798"/>
    <mergeCell ref="H798:L798"/>
    <mergeCell ref="M798:Q798"/>
    <mergeCell ref="A799:Q799"/>
    <mergeCell ref="A800:B800"/>
    <mergeCell ref="C800:E800"/>
    <mergeCell ref="F800:H800"/>
    <mergeCell ref="I800:K800"/>
    <mergeCell ref="A801:B801"/>
    <mergeCell ref="A802:B802"/>
    <mergeCell ref="A803:B803"/>
    <mergeCell ref="A804:B804"/>
    <mergeCell ref="A805:B805"/>
    <mergeCell ref="A806:B806"/>
    <mergeCell ref="C806:E806"/>
    <mergeCell ref="F806:H806"/>
  </mergeCells>
  <phoneticPr fontId="1" type="noConversion"/>
  <pageMargins left="0.70866141732283505" right="0.70866141732283505" top="0.74803149606299202" bottom="0.74803149606299202" header="0.31496062992126" footer="0.31496062992126"/>
  <pageSetup paperSize="9" fitToHeight="0" orientation="portrait" r:id="rId1"/>
  <headerFooter alignWithMargins="0">
    <oddHeader>&amp;L&amp;G&amp;R&amp;"宋体,常规"&amp;12体外诊断全球技术支持部</oddHeader>
    <oddFooter>&amp;L&amp;"宋体,常规"&amp;12文件编号：OSH-XXXX-BS-5000系列&amp;R版本:1.0</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zoomScale="85" zoomScaleNormal="85" workbookViewId="0">
      <selection activeCell="B10" sqref="B10"/>
    </sheetView>
  </sheetViews>
  <sheetFormatPr defaultColWidth="9" defaultRowHeight="16.5"/>
  <cols>
    <col min="1" max="1" width="35.83203125" style="45" bestFit="1" customWidth="1"/>
    <col min="2" max="2" width="71.58203125" style="45" customWidth="1"/>
    <col min="3" max="16384" width="9" style="45"/>
  </cols>
  <sheetData>
    <row r="1" spans="1:2">
      <c r="A1" s="46" t="s">
        <v>281</v>
      </c>
      <c r="B1" s="46" t="s">
        <v>297</v>
      </c>
    </row>
    <row r="2" spans="1:2">
      <c r="A2" s="46" t="s">
        <v>282</v>
      </c>
      <c r="B2" s="46" t="s">
        <v>295</v>
      </c>
    </row>
    <row r="3" spans="1:2" ht="49.5">
      <c r="A3" s="46" t="s">
        <v>283</v>
      </c>
      <c r="B3" s="47" t="s">
        <v>296</v>
      </c>
    </row>
    <row r="4" spans="1:2">
      <c r="A4" s="58" t="s">
        <v>284</v>
      </c>
      <c r="B4" s="58" t="s">
        <v>300</v>
      </c>
    </row>
    <row r="5" spans="1:2">
      <c r="A5" s="46" t="s">
        <v>285</v>
      </c>
      <c r="B5" s="46" t="s">
        <v>299</v>
      </c>
    </row>
    <row r="6" spans="1:2">
      <c r="A6" s="46" t="s">
        <v>286</v>
      </c>
      <c r="B6" s="46" t="s">
        <v>301</v>
      </c>
    </row>
    <row r="7" spans="1:2" ht="181.5">
      <c r="A7" s="48" t="s">
        <v>302</v>
      </c>
      <c r="B7" s="47" t="s">
        <v>306</v>
      </c>
    </row>
    <row r="8" spans="1:2">
      <c r="A8" s="46" t="s">
        <v>287</v>
      </c>
      <c r="B8" s="46" t="s">
        <v>298</v>
      </c>
    </row>
    <row r="9" spans="1:2">
      <c r="A9" s="46" t="s">
        <v>288</v>
      </c>
      <c r="B9" s="46" t="s">
        <v>303</v>
      </c>
    </row>
    <row r="10" spans="1:2" ht="152.25" customHeight="1">
      <c r="A10" s="48" t="s">
        <v>289</v>
      </c>
      <c r="B10" s="47" t="s">
        <v>305</v>
      </c>
    </row>
    <row r="11" spans="1:2" ht="28.5" customHeight="1">
      <c r="A11" s="46" t="s">
        <v>293</v>
      </c>
      <c r="B11" s="977"/>
    </row>
    <row r="12" spans="1:2" ht="28.5" customHeight="1">
      <c r="A12" s="46" t="s">
        <v>290</v>
      </c>
      <c r="B12" s="977"/>
    </row>
    <row r="13" spans="1:2" ht="28.5" customHeight="1">
      <c r="A13" s="46" t="s">
        <v>291</v>
      </c>
      <c r="B13" s="977"/>
    </row>
    <row r="14" spans="1:2" ht="28.5" customHeight="1">
      <c r="A14" s="46" t="s">
        <v>292</v>
      </c>
      <c r="B14" s="977"/>
    </row>
    <row r="15" spans="1:2" ht="28.5" customHeight="1">
      <c r="A15" s="46" t="s">
        <v>294</v>
      </c>
      <c r="B15" s="977"/>
    </row>
  </sheetData>
  <mergeCells count="1">
    <mergeCell ref="B11:B15"/>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1</vt:lpstr>
      <vt:lpstr>BA5K测试项</vt:lpstr>
      <vt:lpstr>'1'!_Hlk64905826</vt:lpstr>
      <vt:lpstr>'1'!_Toc68610981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2026-07-08T09:22:07Z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